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奖品配置" sheetId="1" r:id="rId5"/>
    <sheet state="visible" name="用户数据" sheetId="2" r:id="rId6"/>
    <sheet state="visible" name="中奖记录" sheetId="3" r:id="rId7"/>
    <sheet state="visible" name="统计仪表板" sheetId="4" r:id="rId8"/>
    <sheet state="visible" name="邀请记录" sheetId="5" r:id="rId9"/>
    <sheet state="visible" name="员工账号" sheetId="6" r:id="rId10"/>
    <sheet state="visible" name="系统设置" sheetId="7" r:id="rId11"/>
    <sheet state="visible" name="操作日志" sheetId="8" r:id="rId12"/>
  </sheets>
  <definedNames/>
  <calcPr/>
</workbook>
</file>

<file path=xl/sharedStrings.xml><?xml version="1.0" encoding="utf-8"?>
<sst xmlns="http://schemas.openxmlformats.org/spreadsheetml/2006/main" count="630" uniqueCount="365">
  <si>
    <r>
      <rPr>
        <rFont val="Noto Sans CJK SC"/>
        <b/>
        <color rgb="FFFFFFFF"/>
        <sz val="11.0"/>
      </rPr>
      <t>奖品</t>
    </r>
    <r>
      <rPr>
        <rFont val="Cambria"/>
        <b/>
        <color rgb="FFFFFFFF"/>
        <sz val="11.0"/>
      </rPr>
      <t>ID</t>
    </r>
  </si>
  <si>
    <t>奖品名称</t>
  </si>
  <si>
    <t>图标</t>
  </si>
  <si>
    <t>总库存</t>
  </si>
  <si>
    <t>已发数量</t>
  </si>
  <si>
    <t>剩余库存</t>
  </si>
  <si>
    <t>中奖权重</t>
  </si>
  <si>
    <r>
      <rPr>
        <rFont val="Noto Sans CJK SC"/>
        <b/>
        <color rgb="FFFFFFFF"/>
        <sz val="11.0"/>
      </rPr>
      <t>奖品价值</t>
    </r>
    <r>
      <rPr>
        <rFont val="Cambria"/>
        <b/>
        <color rgb="FFFFFFFF"/>
        <sz val="11.0"/>
      </rPr>
      <t>(RM)</t>
    </r>
  </si>
  <si>
    <t>是否大奖</t>
  </si>
  <si>
    <t>状态</t>
  </si>
  <si>
    <t>照片链接</t>
  </si>
  <si>
    <t>P001</t>
  </si>
  <si>
    <t>200元霸王餐</t>
  </si>
  <si>
    <t>👑</t>
  </si>
  <si>
    <t>是</t>
  </si>
  <si>
    <t>启用</t>
  </si>
  <si>
    <t>P002</t>
  </si>
  <si>
    <t>特级肥牛</t>
  </si>
  <si>
    <t>🥩</t>
  </si>
  <si>
    <t>P003</t>
  </si>
  <si>
    <t>西瓜小火锅</t>
  </si>
  <si>
    <t>🍉</t>
  </si>
  <si>
    <t>否</t>
  </si>
  <si>
    <t>P004</t>
  </si>
  <si>
    <t>厚切牛乳冰</t>
  </si>
  <si>
    <t>🍨</t>
  </si>
  <si>
    <t>P005</t>
  </si>
  <si>
    <t>多巴胺绵绵冰</t>
  </si>
  <si>
    <t>🍧</t>
  </si>
  <si>
    <t>P006</t>
  </si>
  <si>
    <t>蜜桃爆柠茶霸王桶</t>
  </si>
  <si>
    <t>🍑</t>
  </si>
  <si>
    <t>P007</t>
  </si>
  <si>
    <t>五花肉</t>
  </si>
  <si>
    <t>🥓</t>
  </si>
  <si>
    <t>P008</t>
  </si>
  <si>
    <t>暴打柠檬茶</t>
  </si>
  <si>
    <t>🍋</t>
  </si>
  <si>
    <t>P009</t>
  </si>
  <si>
    <t>老式红糖冰豆花</t>
  </si>
  <si>
    <t>🍮</t>
  </si>
  <si>
    <t>P010</t>
  </si>
  <si>
    <t>5元代金券</t>
  </si>
  <si>
    <t>🎫</t>
  </si>
  <si>
    <t>P011</t>
  </si>
  <si>
    <t>10元代金券</t>
  </si>
  <si>
    <t>🎟️</t>
  </si>
  <si>
    <t>P012</t>
  </si>
  <si>
    <t>招牌炒饭</t>
  </si>
  <si>
    <t>🎁</t>
  </si>
  <si>
    <t>P013</t>
  </si>
  <si>
    <t>招牌嫩牛肉</t>
  </si>
  <si>
    <t>停用</t>
  </si>
  <si>
    <t>P015</t>
  </si>
  <si>
    <t>鸭血</t>
  </si>
  <si>
    <r>
      <rPr>
        <rFont val="Noto Sans CJK SC"/>
        <b/>
        <color rgb="FFFFFFFF"/>
        <sz val="11.0"/>
      </rPr>
      <t>用户</t>
    </r>
    <r>
      <rPr>
        <rFont val="Cambria"/>
        <b/>
        <color rgb="FFFFFFFF"/>
        <sz val="11.0"/>
      </rPr>
      <t>ID</t>
    </r>
  </si>
  <si>
    <t>手机号</t>
  </si>
  <si>
    <t>姓名</t>
  </si>
  <si>
    <t>邮箱</t>
  </si>
  <si>
    <t>注册时间</t>
  </si>
  <si>
    <t>剩余积分</t>
  </si>
  <si>
    <t>总获得积分</t>
  </si>
  <si>
    <t>邀请码</t>
  </si>
  <si>
    <t>邀请人手机</t>
  </si>
  <si>
    <t>邀请人数</t>
  </si>
  <si>
    <t>总抽奖次数</t>
  </si>
  <si>
    <t>今日抽奖</t>
  </si>
  <si>
    <t>最后抽奖时间</t>
  </si>
  <si>
    <t>U001</t>
  </si>
  <si>
    <t>60123456789</t>
  </si>
  <si>
    <t>张三</t>
  </si>
  <si>
    <t>zhang@test.com</t>
  </si>
  <si>
    <t>ABC123</t>
  </si>
  <si>
    <t>正常</t>
  </si>
  <si>
    <t>U002</t>
  </si>
  <si>
    <t>60198765432</t>
  </si>
  <si>
    <t>李四</t>
  </si>
  <si>
    <t>li@test.com</t>
  </si>
  <si>
    <t>DEF456</t>
  </si>
  <si>
    <t>U003</t>
  </si>
  <si>
    <t>60112233445</t>
  </si>
  <si>
    <t>王五</t>
  </si>
  <si>
    <t>wang@test.com</t>
  </si>
  <si>
    <t>GHI789</t>
  </si>
  <si>
    <t>U004</t>
  </si>
  <si>
    <t>65912345678</t>
  </si>
  <si>
    <t>Rachel</t>
  </si>
  <si>
    <t>rachel@test.com</t>
  </si>
  <si>
    <t>JKL012</t>
  </si>
  <si>
    <t>U0005</t>
  </si>
  <si>
    <t>it.secure00@gmail.com</t>
  </si>
  <si>
    <t>EZBCYE</t>
  </si>
  <si>
    <t>U0006</t>
  </si>
  <si>
    <t>nicolelim106@gmail.com</t>
  </si>
  <si>
    <t>HX4EWR</t>
  </si>
  <si>
    <t>U0007</t>
  </si>
  <si>
    <t>V78S2A</t>
  </si>
  <si>
    <t>U0008</t>
  </si>
  <si>
    <t>XLCGK8</t>
  </si>
  <si>
    <t>U0009</t>
  </si>
  <si>
    <t>QYE5EM</t>
  </si>
  <si>
    <t>U0010</t>
  </si>
  <si>
    <t>374MF9</t>
  </si>
  <si>
    <r>
      <rPr>
        <rFont val="Arial"/>
        <b/>
        <color rgb="FFFFFFFF"/>
        <sz val="11.0"/>
      </rPr>
      <t>记录</t>
    </r>
    <r>
      <rPr>
        <rFont val="Cambria"/>
        <b/>
        <color rgb="FFFFFFFF"/>
        <sz val="11.0"/>
      </rPr>
      <t>ID</t>
    </r>
  </si>
  <si>
    <t>抽奖时间</t>
  </si>
  <si>
    <r>
      <rPr>
        <rFont val="Noto Sans CJK SC"/>
        <b/>
        <color rgb="FFFFFFFF"/>
        <sz val="11.0"/>
      </rPr>
      <t>用户</t>
    </r>
    <r>
      <rPr>
        <rFont val="Cambria"/>
        <b/>
        <color rgb="FFFFFFFF"/>
        <sz val="11.0"/>
      </rPr>
      <t>ID</t>
    </r>
  </si>
  <si>
    <t>奖品</t>
  </si>
  <si>
    <t>验证码</t>
  </si>
  <si>
    <t>有效期至</t>
  </si>
  <si>
    <r>
      <rPr>
        <rFont val="Cambria"/>
        <b/>
        <color rgb="FFFFFFFF"/>
        <sz val="11.0"/>
      </rPr>
      <t>WA</t>
    </r>
    <r>
      <rPr>
        <rFont val="Noto Sans CJK SC"/>
        <b/>
        <color rgb="FFFFFFFF"/>
        <sz val="11.0"/>
      </rPr>
      <t>发送状态</t>
    </r>
  </si>
  <si>
    <r>
      <rPr>
        <rFont val="Cambria"/>
        <b/>
        <color rgb="FFFFFFFF"/>
        <sz val="11.0"/>
      </rPr>
      <t>WA</t>
    </r>
    <r>
      <rPr>
        <rFont val="Noto Sans CJK SC"/>
        <b/>
        <color rgb="FFFFFFFF"/>
        <sz val="11.0"/>
      </rPr>
      <t>发送时间</t>
    </r>
  </si>
  <si>
    <t>核销状态</t>
  </si>
  <si>
    <t>核销时间</t>
  </si>
  <si>
    <t>核销员</t>
  </si>
  <si>
    <t>备注</t>
  </si>
  <si>
    <t>R001</t>
  </si>
  <si>
    <t>60109890913</t>
  </si>
  <si>
    <t>ZCH436890</t>
  </si>
  <si>
    <t>已发送</t>
  </si>
  <si>
    <t>未核销</t>
  </si>
  <si>
    <t>R002</t>
  </si>
  <si>
    <t>ZCH883862</t>
  </si>
  <si>
    <t>R003</t>
  </si>
  <si>
    <t>ZCH954787</t>
  </si>
  <si>
    <t>已核销</t>
  </si>
  <si>
    <t>Boss</t>
  </si>
  <si>
    <t>R004</t>
  </si>
  <si>
    <t>ZCH486119</t>
  </si>
  <si>
    <t>待发送</t>
  </si>
  <si>
    <t>R0005</t>
  </si>
  <si>
    <t>ZCH329639</t>
  </si>
  <si>
    <t>R0006</t>
  </si>
  <si>
    <t>ZCH727226</t>
  </si>
  <si>
    <t>R0007</t>
  </si>
  <si>
    <t>ZCH554855</t>
  </si>
  <si>
    <t>R0008</t>
  </si>
  <si>
    <t>ZCH675231</t>
  </si>
  <si>
    <t>R0009</t>
  </si>
  <si>
    <t>ZCH498452</t>
  </si>
  <si>
    <t>R0010</t>
  </si>
  <si>
    <t>ZCH437192</t>
  </si>
  <si>
    <t>R0011</t>
  </si>
  <si>
    <t>ZCH691275</t>
  </si>
  <si>
    <t>R0012</t>
  </si>
  <si>
    <t>ZCH744342</t>
  </si>
  <si>
    <t>R0013</t>
  </si>
  <si>
    <t>ZCH978601</t>
  </si>
  <si>
    <t>📊 抽奖系统数据仪表板</t>
  </si>
  <si>
    <t>📈 核心指标</t>
  </si>
  <si>
    <r>
      <rPr>
        <rFont val="Noto Sans CJK SC"/>
        <b/>
        <color theme="1"/>
        <sz val="12.0"/>
      </rPr>
      <t>🏆 奖品发放</t>
    </r>
    <r>
      <rPr>
        <rFont val="Cambria"/>
        <b/>
        <color theme="1"/>
        <sz val="12.0"/>
      </rPr>
      <t>TOP5</t>
    </r>
  </si>
  <si>
    <t>总注册用户</t>
  </si>
  <si>
    <t>发放数量</t>
  </si>
  <si>
    <t>今日新用户</t>
  </si>
  <si>
    <t>已核销数</t>
  </si>
  <si>
    <t>待核销数</t>
  </si>
  <si>
    <t>核销率</t>
  </si>
  <si>
    <t>总邀请数</t>
  </si>
  <si>
    <r>
      <rPr>
        <rFont val="Noto Sans CJK SC"/>
        <b/>
        <color theme="1"/>
        <sz val="12.0"/>
      </rPr>
      <t xml:space="preserve">⚠️ 库存预警 </t>
    </r>
    <r>
      <rPr>
        <rFont val="Cambria"/>
        <b/>
        <color theme="1"/>
        <sz val="12.0"/>
      </rPr>
      <t>(</t>
    </r>
    <r>
      <rPr>
        <rFont val="Noto Sans CJK SC"/>
        <b/>
        <color theme="1"/>
        <sz val="12.0"/>
      </rPr>
      <t>剩余</t>
    </r>
    <r>
      <rPr>
        <rFont val="Cambria"/>
        <b/>
        <color theme="1"/>
        <sz val="12.0"/>
      </rPr>
      <t>&lt;5)</t>
    </r>
  </si>
  <si>
    <r>
      <rPr>
        <rFont val="Noto Sans CJK SC"/>
        <b/>
        <color rgb="FFFFFFFF"/>
        <sz val="11.0"/>
      </rPr>
      <t>邀请</t>
    </r>
    <r>
      <rPr>
        <rFont val="Cambria"/>
        <b/>
        <color rgb="FFFFFFFF"/>
        <sz val="11.0"/>
      </rPr>
      <t>ID</t>
    </r>
  </si>
  <si>
    <t>邀请时间</t>
  </si>
  <si>
    <t>邀请人姓名</t>
  </si>
  <si>
    <t>被邀请人手机</t>
  </si>
  <si>
    <t>被邀请人姓名</t>
  </si>
  <si>
    <t>邀请人获得积分</t>
  </si>
  <si>
    <t>I001</t>
  </si>
  <si>
    <t>成功</t>
  </si>
  <si>
    <t>I002</t>
  </si>
  <si>
    <t>I003</t>
  </si>
  <si>
    <r>
      <rPr>
        <rFont val="Noto Sans CJK SC"/>
        <b/>
        <color rgb="FFFFFFFF"/>
        <sz val="11.0"/>
      </rPr>
      <t>员工</t>
    </r>
    <r>
      <rPr>
        <rFont val="Cambria"/>
        <b/>
        <color rgb="FFFFFFFF"/>
        <sz val="11.0"/>
      </rPr>
      <t>ID</t>
    </r>
  </si>
  <si>
    <t>员工姓名</t>
  </si>
  <si>
    <t>账号</t>
  </si>
  <si>
    <t>密码</t>
  </si>
  <si>
    <t>角色</t>
  </si>
  <si>
    <t>创建时间</t>
  </si>
  <si>
    <t>最后登录</t>
  </si>
  <si>
    <t>S001</t>
  </si>
  <si>
    <t>老板</t>
  </si>
  <si>
    <t>boss</t>
  </si>
  <si>
    <t>888888</t>
  </si>
  <si>
    <t>Admin</t>
  </si>
  <si>
    <t>S002</t>
  </si>
  <si>
    <t>经理小王</t>
  </si>
  <si>
    <t>manager</t>
  </si>
  <si>
    <t>123456</t>
  </si>
  <si>
    <t>Manager</t>
  </si>
  <si>
    <t>S003</t>
  </si>
  <si>
    <t>员工小李</t>
  </si>
  <si>
    <t>staff1</t>
  </si>
  <si>
    <t>111111</t>
  </si>
  <si>
    <t>Staff</t>
  </si>
  <si>
    <t>S004</t>
  </si>
  <si>
    <t>员工小张</t>
  </si>
  <si>
    <t>staff2</t>
  </si>
  <si>
    <t>222222</t>
  </si>
  <si>
    <t>S005</t>
  </si>
  <si>
    <t>eric</t>
  </si>
  <si>
    <t>S006</t>
  </si>
  <si>
    <t>S007</t>
  </si>
  <si>
    <t>ying xin</t>
  </si>
  <si>
    <t>配置项</t>
  </si>
  <si>
    <t>配置值</t>
  </si>
  <si>
    <t>说明</t>
  </si>
  <si>
    <t>storeName</t>
  </si>
  <si>
    <t>张崇会火锅</t>
  </si>
  <si>
    <t>店铺名称</t>
  </si>
  <si>
    <t>storeBranch</t>
  </si>
  <si>
    <t>百万镇分店</t>
  </si>
  <si>
    <t>分店名称</t>
  </si>
  <si>
    <t>eventTitle</t>
  </si>
  <si>
    <r>
      <rPr>
        <rFont val="Calibri"/>
        <color theme="1"/>
        <sz val="11.0"/>
      </rPr>
      <t>🐴 2026</t>
    </r>
    <r>
      <rPr>
        <rFont val="Noto Sans CJK SC"/>
        <color theme="1"/>
        <sz val="11.0"/>
      </rPr>
      <t>马年新春抽奖</t>
    </r>
  </si>
  <si>
    <t>活动标题</t>
  </si>
  <si>
    <t>eventStart</t>
  </si>
  <si>
    <t>2026-01-15</t>
  </si>
  <si>
    <t>活动开始日期</t>
  </si>
  <si>
    <t>eventEnd</t>
  </si>
  <si>
    <t>2026-02-28</t>
  </si>
  <si>
    <t>活动结束日期</t>
  </si>
  <si>
    <t>dailyDrawLimit</t>
  </si>
  <si>
    <t>3</t>
  </si>
  <si>
    <t>每日抽奖上限</t>
  </si>
  <si>
    <t>pointsPerDraw</t>
  </si>
  <si>
    <t>1</t>
  </si>
  <si>
    <t>每次抽奖消耗积分</t>
  </si>
  <si>
    <t>pointsFirstRegister</t>
  </si>
  <si>
    <t>首次注册赠送积分</t>
  </si>
  <si>
    <t>pointsPerInvite</t>
  </si>
  <si>
    <t>邀请好友获得积分</t>
  </si>
  <si>
    <t>codePrefix</t>
  </si>
  <si>
    <t>ZCH</t>
  </si>
  <si>
    <t>验证码前缀</t>
  </si>
  <si>
    <t>codeExpireDays</t>
  </si>
  <si>
    <t>30</t>
  </si>
  <si>
    <t>验证码有效天数</t>
  </si>
  <si>
    <t>waEnabled</t>
  </si>
  <si>
    <t>TRUE</t>
  </si>
  <si>
    <r>
      <rPr>
        <rFont val="Calibri"/>
        <color theme="1"/>
        <sz val="11.0"/>
      </rPr>
      <t>WhatsApp</t>
    </r>
    <r>
      <rPr>
        <rFont val="Noto Sans CJK SC"/>
        <color theme="1"/>
        <sz val="11.0"/>
      </rPr>
      <t>发送开关</t>
    </r>
  </si>
  <si>
    <t>waDelayHours</t>
  </si>
  <si>
    <t>24</t>
  </si>
  <si>
    <r>
      <rPr>
        <rFont val="Calibri"/>
        <color theme="1"/>
        <sz val="11.0"/>
      </rPr>
      <t>WhatsApp</t>
    </r>
    <r>
      <rPr>
        <rFont val="Noto Sans CJK SC"/>
        <color theme="1"/>
        <sz val="11.0"/>
      </rPr>
      <t>发送延迟</t>
    </r>
    <r>
      <rPr>
        <rFont val="Calibri"/>
        <color theme="1"/>
        <sz val="11.0"/>
      </rPr>
      <t>(</t>
    </r>
    <r>
      <rPr>
        <rFont val="Noto Sans CJK SC"/>
        <color theme="1"/>
        <sz val="11.0"/>
      </rPr>
      <t>小时</t>
    </r>
    <r>
      <rPr>
        <rFont val="Calibri"/>
        <color theme="1"/>
        <sz val="11.0"/>
      </rPr>
      <t>)</t>
    </r>
  </si>
  <si>
    <t>waApiKey</t>
  </si>
  <si>
    <t>WhatsApp API Key</t>
  </si>
  <si>
    <t>waPhoneId</t>
  </si>
  <si>
    <t>WhatsApp Phone Number ID</t>
  </si>
  <si>
    <t>waTemplate</t>
  </si>
  <si>
    <r>
      <rPr>
        <rFont val="Noto Sans CJK SC"/>
        <color theme="1"/>
        <sz val="11.0"/>
      </rPr>
      <t>【张崇会火锅】恭喜您中奖！
奖品：</t>
    </r>
    <r>
      <rPr>
        <rFont val="Calibri"/>
        <color theme="1"/>
        <sz val="11.0"/>
      </rPr>
      <t xml:space="preserve">{prize}
</t>
    </r>
    <r>
      <rPr>
        <rFont val="Noto Sans CJK SC"/>
        <color theme="1"/>
        <sz val="11.0"/>
      </rPr>
      <t>验证码：</t>
    </r>
    <r>
      <rPr>
        <rFont val="Calibri"/>
        <color theme="1"/>
        <sz val="11.0"/>
      </rPr>
      <t xml:space="preserve">{code}
</t>
    </r>
    <r>
      <rPr>
        <rFont val="Noto Sans CJK SC"/>
        <color theme="1"/>
        <sz val="11.0"/>
      </rPr>
      <t>有效期至：</t>
    </r>
    <r>
      <rPr>
        <rFont val="Calibri"/>
        <color theme="1"/>
        <sz val="11.0"/>
      </rPr>
      <t xml:space="preserve">{expiry}
</t>
    </r>
    <r>
      <rPr>
        <rFont val="Noto Sans CJK SC"/>
        <color theme="1"/>
        <sz val="11.0"/>
      </rPr>
      <t>请到店出示验证码兑换。</t>
    </r>
  </si>
  <si>
    <r>
      <rPr>
        <rFont val="Calibri"/>
        <color theme="1"/>
        <sz val="11.0"/>
      </rPr>
      <t>WhatsApp</t>
    </r>
    <r>
      <rPr>
        <rFont val="Noto Sans CJK SC"/>
        <color theme="1"/>
        <sz val="11.0"/>
      </rPr>
      <t>消息模板</t>
    </r>
  </si>
  <si>
    <t>bgmUrl</t>
  </si>
  <si>
    <t>https://example.com/bgm.mp3</t>
  </si>
  <si>
    <r>
      <rPr>
        <rFont val="Noto Sans CJK SC"/>
        <color theme="1"/>
        <sz val="11.0"/>
      </rPr>
      <t>背景音乐</t>
    </r>
    <r>
      <rPr>
        <rFont val="Calibri"/>
        <color theme="1"/>
        <sz val="11.0"/>
      </rPr>
      <t>URL</t>
    </r>
  </si>
  <si>
    <t>spinSound</t>
  </si>
  <si>
    <t>https://example.com/spin.mp3</t>
  </si>
  <si>
    <r>
      <rPr>
        <rFont val="Noto Sans CJK SC"/>
        <color theme="1"/>
        <sz val="11.0"/>
      </rPr>
      <t>转盘音效</t>
    </r>
    <r>
      <rPr>
        <rFont val="Calibri"/>
        <color theme="1"/>
        <sz val="11.0"/>
      </rPr>
      <t>URL</t>
    </r>
  </si>
  <si>
    <t>winSound</t>
  </si>
  <si>
    <t>https://example.com/win.mp3</t>
  </si>
  <si>
    <r>
      <rPr>
        <rFont val="Noto Sans CJK SC"/>
        <color theme="1"/>
        <sz val="11.0"/>
      </rPr>
      <t>中奖音效</t>
    </r>
    <r>
      <rPr>
        <rFont val="Calibri"/>
        <color theme="1"/>
        <sz val="11.0"/>
      </rPr>
      <t>URL</t>
    </r>
  </si>
  <si>
    <t>grandWinSound</t>
  </si>
  <si>
    <t>https://example.com/grand.mp3</t>
  </si>
  <si>
    <r>
      <rPr>
        <rFont val="Noto Sans CJK SC"/>
        <color theme="1"/>
        <sz val="11.0"/>
      </rPr>
      <t>大奖音效</t>
    </r>
    <r>
      <rPr>
        <rFont val="Calibri"/>
        <color theme="1"/>
        <sz val="11.0"/>
      </rPr>
      <t>URL</t>
    </r>
  </si>
  <si>
    <t>redeemDays</t>
  </si>
  <si>
    <r>
      <rPr>
        <rFont val="Noto Sans CJK SC"/>
        <color theme="1"/>
        <sz val="11.0"/>
      </rPr>
      <t>周一</t>
    </r>
    <r>
      <rPr>
        <rFont val="Calibri"/>
        <color theme="1"/>
        <sz val="11.0"/>
      </rPr>
      <t>,</t>
    </r>
    <r>
      <rPr>
        <rFont val="Noto Sans CJK SC"/>
        <color theme="1"/>
        <sz val="11.0"/>
      </rPr>
      <t>周二</t>
    </r>
    <r>
      <rPr>
        <rFont val="Calibri"/>
        <color theme="1"/>
        <sz val="11.0"/>
      </rPr>
      <t>,</t>
    </r>
    <r>
      <rPr>
        <rFont val="Noto Sans CJK SC"/>
        <color theme="1"/>
        <sz val="11.0"/>
      </rPr>
      <t>周三</t>
    </r>
    <r>
      <rPr>
        <rFont val="Calibri"/>
        <color theme="1"/>
        <sz val="11.0"/>
      </rPr>
      <t>,</t>
    </r>
    <r>
      <rPr>
        <rFont val="Noto Sans CJK SC"/>
        <color theme="1"/>
        <sz val="11.0"/>
      </rPr>
      <t>周四</t>
    </r>
  </si>
  <si>
    <t>可兑换日期</t>
  </si>
  <si>
    <t>redeemType</t>
  </si>
  <si>
    <t>仅限堂食</t>
  </si>
  <si>
    <t>兑换方式</t>
  </si>
  <si>
    <t>stockAlertThreshold</t>
  </si>
  <si>
    <t>5</t>
  </si>
  <si>
    <t>库存预警阈值</t>
  </si>
  <si>
    <t>bgMusicUrl</t>
  </si>
  <si>
    <t>https://drive.google.com/uc?export=download&amp;id=1-9z81kGDKQxPnyfeWd8RvQ5HCXz7MeUs</t>
  </si>
  <si>
    <t>背景音乐URL</t>
  </si>
  <si>
    <t>firecrackerUrl</t>
  </si>
  <si>
    <t>鞭炮音效URL</t>
  </si>
  <si>
    <t>musicEnabled</t>
  </si>
  <si>
    <t>是否启用音乐</t>
  </si>
  <si>
    <r>
      <rPr>
        <rFont val="Noto Sans CJK SC"/>
        <b/>
        <color rgb="FFFFFFFF"/>
        <sz val="11.0"/>
      </rPr>
      <t>日志</t>
    </r>
    <r>
      <rPr>
        <rFont val="Cambria"/>
        <b/>
        <color rgb="FFFFFFFF"/>
        <sz val="11.0"/>
      </rPr>
      <t>ID</t>
    </r>
  </si>
  <si>
    <t>时间</t>
  </si>
  <si>
    <t>操作员</t>
  </si>
  <si>
    <r>
      <rPr>
        <rFont val="Noto Sans CJK SC"/>
        <b/>
        <color rgb="FFFFFFFF"/>
        <sz val="11.0"/>
      </rPr>
      <t>操作员</t>
    </r>
    <r>
      <rPr>
        <rFont val="Cambria"/>
        <b/>
        <color rgb="FFFFFFFF"/>
        <sz val="11.0"/>
      </rPr>
      <t>ID</t>
    </r>
  </si>
  <si>
    <t>动作类型</t>
  </si>
  <si>
    <t>详细内容</t>
  </si>
  <si>
    <r>
      <rPr>
        <rFont val="Cambria"/>
        <b/>
        <color rgb="FFFFFFFF"/>
        <sz val="11.0"/>
      </rPr>
      <t>IP</t>
    </r>
    <r>
      <rPr>
        <rFont val="Noto Sans CJK SC"/>
        <b/>
        <color rgb="FFFFFFFF"/>
        <sz val="11.0"/>
      </rPr>
      <t>地址</t>
    </r>
  </si>
  <si>
    <t>L001</t>
  </si>
  <si>
    <t>System</t>
  </si>
  <si>
    <t>用户注册</t>
  </si>
  <si>
    <r>
      <rPr>
        <rFont val="Noto Sans CJK SC"/>
        <color theme="1"/>
        <sz val="11.0"/>
      </rPr>
      <t>新用户注册</t>
    </r>
    <r>
      <rPr>
        <rFont val="Calibri"/>
        <color theme="1"/>
        <sz val="11.0"/>
      </rPr>
      <t>: 60123456789 (</t>
    </r>
    <r>
      <rPr>
        <rFont val="Noto Sans CJK SC"/>
        <color theme="1"/>
        <sz val="11.0"/>
      </rPr>
      <t>张三</t>
    </r>
    <r>
      <rPr>
        <rFont val="Calibri"/>
        <color theme="1"/>
        <sz val="11.0"/>
      </rPr>
      <t>)</t>
    </r>
  </si>
  <si>
    <t>L002</t>
  </si>
  <si>
    <t>邀请成功</t>
  </si>
  <si>
    <r>
      <rPr>
        <rFont val="Calibri"/>
        <color theme="1"/>
        <sz val="11.0"/>
      </rPr>
      <t xml:space="preserve">60123456789 </t>
    </r>
    <r>
      <rPr>
        <rFont val="Noto Sans CJK SC"/>
        <color theme="1"/>
        <sz val="11.0"/>
      </rPr>
      <t xml:space="preserve">邀请 </t>
    </r>
    <r>
      <rPr>
        <rFont val="Calibri"/>
        <color theme="1"/>
        <sz val="11.0"/>
      </rPr>
      <t xml:space="preserve">60198765432, </t>
    </r>
    <r>
      <rPr>
        <rFont val="Noto Sans CJK SC"/>
        <color theme="1"/>
        <sz val="11.0"/>
      </rPr>
      <t>获得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积分</t>
    </r>
  </si>
  <si>
    <t>L003</t>
  </si>
  <si>
    <t>抽奖</t>
  </si>
  <si>
    <r>
      <rPr>
        <rFont val="Calibri"/>
        <color theme="1"/>
        <sz val="11.0"/>
      </rPr>
      <t xml:space="preserve">60123456789 </t>
    </r>
    <r>
      <rPr>
        <rFont val="Noto Sans CJK SC"/>
        <color theme="1"/>
        <sz val="11.0"/>
      </rPr>
      <t xml:space="preserve">抽中 特级肥牛 </t>
    </r>
    <r>
      <rPr>
        <rFont val="Calibri"/>
        <color theme="1"/>
        <sz val="11.0"/>
      </rPr>
      <t>(ZCH954787)</t>
    </r>
  </si>
  <si>
    <t>L004</t>
  </si>
  <si>
    <t>核销</t>
  </si>
  <si>
    <r>
      <rPr>
        <rFont val="Noto Sans CJK SC"/>
        <color theme="1"/>
        <sz val="11.0"/>
      </rPr>
      <t>核销成功</t>
    </r>
    <r>
      <rPr>
        <rFont val="Calibri"/>
        <color theme="1"/>
        <sz val="11.0"/>
      </rPr>
      <t>: ZCH954787 (</t>
    </r>
    <r>
      <rPr>
        <rFont val="Noto Sans CJK SC"/>
        <color theme="1"/>
        <sz val="11.0"/>
      </rPr>
      <t>特级肥牛</t>
    </r>
    <r>
      <rPr>
        <rFont val="Calibri"/>
        <color theme="1"/>
        <sz val="11.0"/>
      </rPr>
      <t>)</t>
    </r>
  </si>
  <si>
    <t>192.168.1.1</t>
  </si>
  <si>
    <t>L005</t>
  </si>
  <si>
    <t>登录</t>
  </si>
  <si>
    <t>管理员登录成功</t>
  </si>
  <si>
    <t>L0006</t>
  </si>
  <si>
    <t>管理员登录</t>
  </si>
  <si>
    <t>L0007</t>
  </si>
  <si>
    <t>L0008</t>
  </si>
  <si>
    <t>L0009</t>
  </si>
  <si>
    <t>新用户: 60167229332</t>
  </si>
  <si>
    <t>L0010</t>
  </si>
  <si>
    <t>60167229332 抽中 五花肉 (ZCH329639)</t>
  </si>
  <si>
    <t>L0011</t>
  </si>
  <si>
    <t>WhatsApp发送</t>
  </si>
  <si>
    <t>发送: ZCH329639 -&gt; 60167229332</t>
  </si>
  <si>
    <t>L0012</t>
  </si>
  <si>
    <t>新用户: 60167826207</t>
  </si>
  <si>
    <t>L0013</t>
  </si>
  <si>
    <t>60167826207 抽中 多巴胺绵绵冰 (ZCH727226)</t>
  </si>
  <si>
    <t>L0014</t>
  </si>
  <si>
    <t>发送: ZCH727226 -&gt; 60167826207</t>
  </si>
  <si>
    <t>L0015</t>
  </si>
  <si>
    <t>60167229332 抽中 暴打柠檬茶 (ZCH554855)</t>
  </si>
  <si>
    <t>L0016</t>
  </si>
  <si>
    <t>60167229332 抽中 暴打柠檬茶 (ZCH675231)</t>
  </si>
  <si>
    <t>L0017</t>
  </si>
  <si>
    <t>新用户: 60167229331</t>
  </si>
  <si>
    <t>L0018</t>
  </si>
  <si>
    <t>60167229331 抽中 蜜桃爆柠茶霸王桶 (ZCH498452)</t>
  </si>
  <si>
    <t>L0019</t>
  </si>
  <si>
    <t>L0020</t>
  </si>
  <si>
    <t>更新音乐设置</t>
  </si>
  <si>
    <t>背景音乐: 默认</t>
  </si>
  <si>
    <t>L0021</t>
  </si>
  <si>
    <t>背景音乐: 已设置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</si>
  <si>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</si>
  <si>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</si>
  <si>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</si>
  <si>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</si>
  <si>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</si>
  <si>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</si>
  <si>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</si>
  <si>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</si>
  <si>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</si>
  <si>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</si>
  <si>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</si>
  <si>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</si>
  <si>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</si>
  <si>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</si>
  <si>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新用户: 60167997281</t>
  </si>
  <si>
    <t>L0036</t>
  </si>
  <si>
    <t>60167997281 抽中 五花肉 (ZCH437192)</t>
  </si>
  <si>
    <t>L0037</t>
  </si>
  <si>
    <t>60167229332 抽中 老式红糖冰豆花 (ZCH691275)</t>
  </si>
  <si>
    <t>L0038</t>
  </si>
  <si>
    <t>L0039</t>
  </si>
  <si>
    <t>发送: ZCH437192 -&gt; 60167997281</t>
  </si>
  <si>
    <t>L0040</t>
  </si>
  <si>
    <t>L0041</t>
  </si>
  <si>
    <t>L0042</t>
  </si>
  <si>
    <t>新用户: 60127119900</t>
  </si>
  <si>
    <t>L0043</t>
  </si>
  <si>
    <t>60127119900 抽中 10元代金券 (ZCH744342)</t>
  </si>
  <si>
    <t>L0044</t>
  </si>
  <si>
    <t>L0045</t>
  </si>
  <si>
    <t>L0046</t>
  </si>
  <si>
    <t>发送: ZCH744342 -&gt; 60127119900</t>
  </si>
  <si>
    <t>L0047</t>
  </si>
  <si>
    <t>新用户: 60127073822</t>
  </si>
  <si>
    <t>L0048</t>
  </si>
  <si>
    <t>60127073822 抽中 蜜桃爆柠茶霸王桶 (ZCH978601)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</si>
</sst>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:mm:ss"/>
    <numFmt numFmtId="165" formatCode="m/d/yyyy h:mm:ss"/>
  </numFmts>
  <fonts count="10">
    <font>
      <sz val="10.0"/>
      <color rgb="FF000000"/>
      <name val="Arial"/>
      <scheme val="minor"/>
    </font>
    <font>
      <b/>
      <sz val="11.0"/>
      <color rgb="FFFFFFFF"/>
      <name val="Noto Sans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Noto Sans"/>
    </font>
    <font>
      <b/>
      <sz val="11.0"/>
      <color rgb="FFFFFFFF"/>
      <name val="Cambria"/>
    </font>
    <font>
      <b/>
      <sz val="16.0"/>
      <color rgb="FF8B0000"/>
      <name val="Noto Sans"/>
    </font>
    <font>
      <b/>
      <sz val="12.0"/>
      <color theme="1"/>
      <name val="Noto Sans"/>
    </font>
    <font>
      <b/>
      <sz val="10.0"/>
      <color rgb="FF8B0000"/>
      <name val="Noto Sans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8B0000"/>
        <bgColor rgb="FF8B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165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1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download&amp;id=1-9z81kGDKQxPnyfeWd8RvQ5HCXz7MeUs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5.75"/>
    <col customWidth="1" min="3" max="10" width="13.13"/>
    <col customWidth="1" min="11" max="11" width="35.0"/>
    <col customWidth="1" min="12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3" t="s">
        <v>13</v>
      </c>
      <c r="D2" s="4">
        <v>2.0</v>
      </c>
      <c r="E2" s="2">
        <v>0.0</v>
      </c>
      <c r="F2" s="2">
        <f t="shared" ref="F2:F16" si="1">D2-E2</f>
        <v>2</v>
      </c>
      <c r="G2" s="4">
        <v>1.0</v>
      </c>
      <c r="I2" s="5" t="s">
        <v>14</v>
      </c>
      <c r="J2" s="6" t="s">
        <v>15</v>
      </c>
    </row>
    <row r="3">
      <c r="A3" s="2" t="s">
        <v>16</v>
      </c>
      <c r="B3" s="6" t="s">
        <v>17</v>
      </c>
      <c r="C3" s="3" t="s">
        <v>18</v>
      </c>
      <c r="D3" s="4">
        <v>15.0</v>
      </c>
      <c r="E3" s="2">
        <v>3.0</v>
      </c>
      <c r="F3" s="2">
        <f t="shared" si="1"/>
        <v>12</v>
      </c>
      <c r="G3" s="4">
        <v>5.0</v>
      </c>
      <c r="I3" s="5" t="s">
        <v>14</v>
      </c>
      <c r="J3" s="6" t="s">
        <v>15</v>
      </c>
    </row>
    <row r="4">
      <c r="A4" s="2" t="s">
        <v>19</v>
      </c>
      <c r="B4" s="6" t="s">
        <v>20</v>
      </c>
      <c r="C4" s="3" t="s">
        <v>21</v>
      </c>
      <c r="D4" s="4">
        <v>15.0</v>
      </c>
      <c r="E4" s="2">
        <v>5.0</v>
      </c>
      <c r="F4" s="2">
        <f t="shared" si="1"/>
        <v>10</v>
      </c>
      <c r="G4" s="4">
        <v>8.0</v>
      </c>
      <c r="I4" s="5" t="s">
        <v>22</v>
      </c>
      <c r="J4" s="6" t="s">
        <v>15</v>
      </c>
    </row>
    <row r="5">
      <c r="A5" s="2" t="s">
        <v>23</v>
      </c>
      <c r="B5" s="6" t="s">
        <v>24</v>
      </c>
      <c r="C5" s="3" t="s">
        <v>25</v>
      </c>
      <c r="D5" s="4">
        <v>15.0</v>
      </c>
      <c r="E5" s="2">
        <v>5.0</v>
      </c>
      <c r="F5" s="2">
        <f t="shared" si="1"/>
        <v>10</v>
      </c>
      <c r="G5" s="4">
        <v>8.0</v>
      </c>
      <c r="I5" s="5" t="s">
        <v>22</v>
      </c>
      <c r="J5" s="6" t="s">
        <v>15</v>
      </c>
    </row>
    <row r="6">
      <c r="A6" s="2" t="s">
        <v>26</v>
      </c>
      <c r="B6" s="6" t="s">
        <v>27</v>
      </c>
      <c r="C6" s="3" t="s">
        <v>28</v>
      </c>
      <c r="D6" s="4">
        <v>25.0</v>
      </c>
      <c r="E6" s="4">
        <v>6.0</v>
      </c>
      <c r="F6" s="2">
        <f t="shared" si="1"/>
        <v>19</v>
      </c>
      <c r="G6" s="4">
        <v>10.0</v>
      </c>
      <c r="I6" s="5" t="s">
        <v>22</v>
      </c>
      <c r="J6" s="6" t="s">
        <v>15</v>
      </c>
    </row>
    <row r="7">
      <c r="A7" s="2" t="s">
        <v>29</v>
      </c>
      <c r="B7" s="6" t="s">
        <v>30</v>
      </c>
      <c r="C7" s="3" t="s">
        <v>31</v>
      </c>
      <c r="D7" s="4">
        <v>20.0</v>
      </c>
      <c r="E7" s="4">
        <v>4.0</v>
      </c>
      <c r="F7" s="2">
        <f t="shared" si="1"/>
        <v>16</v>
      </c>
      <c r="G7" s="4">
        <v>10.0</v>
      </c>
      <c r="I7" s="5" t="s">
        <v>22</v>
      </c>
      <c r="J7" s="6" t="s">
        <v>15</v>
      </c>
    </row>
    <row r="8">
      <c r="A8" s="2" t="s">
        <v>32</v>
      </c>
      <c r="B8" s="6" t="s">
        <v>33</v>
      </c>
      <c r="C8" s="3" t="s">
        <v>34</v>
      </c>
      <c r="D8" s="4">
        <v>60.0</v>
      </c>
      <c r="E8" s="4">
        <v>11.0</v>
      </c>
      <c r="F8" s="2">
        <f t="shared" si="1"/>
        <v>49</v>
      </c>
      <c r="G8" s="4">
        <v>25.0</v>
      </c>
      <c r="I8" s="5" t="s">
        <v>22</v>
      </c>
      <c r="J8" s="6" t="s">
        <v>15</v>
      </c>
    </row>
    <row r="9">
      <c r="A9" s="2" t="s">
        <v>35</v>
      </c>
      <c r="B9" s="6" t="s">
        <v>36</v>
      </c>
      <c r="C9" s="3" t="s">
        <v>37</v>
      </c>
      <c r="D9" s="4">
        <v>50.0</v>
      </c>
      <c r="E9" s="4">
        <v>12.0</v>
      </c>
      <c r="F9" s="2">
        <f t="shared" si="1"/>
        <v>38</v>
      </c>
      <c r="G9" s="4">
        <v>30.0</v>
      </c>
      <c r="I9" s="5" t="s">
        <v>22</v>
      </c>
      <c r="J9" s="6" t="s">
        <v>15</v>
      </c>
    </row>
    <row r="10">
      <c r="A10" s="2" t="s">
        <v>38</v>
      </c>
      <c r="B10" s="6" t="s">
        <v>39</v>
      </c>
      <c r="C10" s="3" t="s">
        <v>40</v>
      </c>
      <c r="D10" s="4">
        <v>50.0</v>
      </c>
      <c r="E10" s="4">
        <v>1.0</v>
      </c>
      <c r="F10" s="2">
        <f t="shared" si="1"/>
        <v>49</v>
      </c>
      <c r="G10" s="4">
        <v>25.0</v>
      </c>
      <c r="I10" s="5" t="s">
        <v>22</v>
      </c>
      <c r="J10" s="6" t="s">
        <v>15</v>
      </c>
    </row>
    <row r="11">
      <c r="A11" s="2" t="s">
        <v>41</v>
      </c>
      <c r="B11" s="3" t="s">
        <v>42</v>
      </c>
      <c r="C11" s="3" t="s">
        <v>43</v>
      </c>
      <c r="D11" s="4">
        <v>100.0</v>
      </c>
      <c r="E11" s="2">
        <v>20.0</v>
      </c>
      <c r="F11" s="2">
        <f t="shared" si="1"/>
        <v>80</v>
      </c>
      <c r="G11" s="4">
        <v>40.0</v>
      </c>
      <c r="I11" s="5" t="s">
        <v>22</v>
      </c>
      <c r="J11" s="6" t="s">
        <v>15</v>
      </c>
    </row>
    <row r="12">
      <c r="A12" s="2" t="s">
        <v>44</v>
      </c>
      <c r="B12" s="3" t="s">
        <v>45</v>
      </c>
      <c r="C12" s="3" t="s">
        <v>46</v>
      </c>
      <c r="D12" s="4">
        <v>80.0</v>
      </c>
      <c r="E12" s="4">
        <v>16.0</v>
      </c>
      <c r="F12" s="2">
        <f t="shared" si="1"/>
        <v>64</v>
      </c>
      <c r="G12" s="4">
        <v>35.0</v>
      </c>
      <c r="I12" s="5" t="s">
        <v>22</v>
      </c>
      <c r="J12" s="6" t="s">
        <v>15</v>
      </c>
    </row>
    <row r="13">
      <c r="A13" s="3" t="s">
        <v>47</v>
      </c>
      <c r="B13" s="3" t="s">
        <v>48</v>
      </c>
      <c r="C13" s="3" t="s">
        <v>49</v>
      </c>
      <c r="D13" s="4">
        <v>20.0</v>
      </c>
      <c r="E13" s="4">
        <v>0.0</v>
      </c>
      <c r="F13" s="2">
        <f t="shared" si="1"/>
        <v>20</v>
      </c>
      <c r="G13" s="4">
        <v>10.0</v>
      </c>
      <c r="H13" s="4"/>
      <c r="I13" s="3" t="s">
        <v>22</v>
      </c>
      <c r="J13" s="3" t="s">
        <v>15</v>
      </c>
      <c r="K13" s="4">
        <v>12.0</v>
      </c>
    </row>
    <row r="14">
      <c r="A14" s="3" t="s">
        <v>50</v>
      </c>
      <c r="B14" s="3" t="s">
        <v>51</v>
      </c>
      <c r="C14" s="3" t="s">
        <v>49</v>
      </c>
      <c r="D14" s="4">
        <v>20.0</v>
      </c>
      <c r="E14" s="4">
        <v>0.0</v>
      </c>
      <c r="F14" s="2">
        <f t="shared" si="1"/>
        <v>20</v>
      </c>
      <c r="G14" s="4">
        <v>10.0</v>
      </c>
      <c r="H14" s="4"/>
      <c r="I14" s="3" t="s">
        <v>22</v>
      </c>
      <c r="J14" s="3" t="s">
        <v>15</v>
      </c>
      <c r="K14" s="4">
        <v>13.0</v>
      </c>
    </row>
    <row r="15">
      <c r="A15" s="3" t="s">
        <v>50</v>
      </c>
      <c r="B15" s="3" t="s">
        <v>51</v>
      </c>
      <c r="C15" s="3" t="s">
        <v>49</v>
      </c>
      <c r="D15" s="4">
        <v>20.0</v>
      </c>
      <c r="E15" s="4">
        <v>0.0</v>
      </c>
      <c r="F15" s="2">
        <f t="shared" si="1"/>
        <v>20</v>
      </c>
      <c r="G15" s="4">
        <v>10.0</v>
      </c>
      <c r="H15" s="4"/>
      <c r="I15" s="3" t="s">
        <v>22</v>
      </c>
      <c r="J15" s="3" t="s">
        <v>52</v>
      </c>
      <c r="K15" s="4">
        <v>14.0</v>
      </c>
    </row>
    <row r="16">
      <c r="A16" s="3" t="s">
        <v>53</v>
      </c>
      <c r="B16" s="3" t="s">
        <v>54</v>
      </c>
      <c r="C16" s="3" t="s">
        <v>49</v>
      </c>
      <c r="D16" s="4">
        <v>20.0</v>
      </c>
      <c r="E16" s="4">
        <v>0.0</v>
      </c>
      <c r="F16" s="2">
        <f t="shared" si="1"/>
        <v>20</v>
      </c>
      <c r="G16" s="4">
        <v>10.0</v>
      </c>
      <c r="H16" s="4">
        <v>9.0</v>
      </c>
      <c r="I16" s="3" t="s">
        <v>22</v>
      </c>
      <c r="J16" s="3" t="s">
        <v>15</v>
      </c>
      <c r="K16" s="4">
        <v>15.0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4" width="13.13"/>
    <col customWidth="1" min="15" max="26" width="7.63"/>
  </cols>
  <sheetData>
    <row r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9</v>
      </c>
    </row>
    <row r="2">
      <c r="A2" s="2" t="s">
        <v>68</v>
      </c>
      <c r="B2" s="2" t="s">
        <v>69</v>
      </c>
      <c r="C2" s="7" t="s">
        <v>70</v>
      </c>
      <c r="D2" s="2" t="s">
        <v>71</v>
      </c>
      <c r="E2" s="8">
        <v>46046.6689236111</v>
      </c>
      <c r="F2" s="2">
        <v>2.0</v>
      </c>
      <c r="G2" s="2">
        <v>5.0</v>
      </c>
      <c r="H2" s="9" t="s">
        <v>72</v>
      </c>
      <c r="J2" s="2">
        <v>3.0</v>
      </c>
      <c r="K2" s="2">
        <v>8.0</v>
      </c>
      <c r="L2" s="2">
        <v>1.0</v>
      </c>
      <c r="M2" s="8">
        <v>46049.4375</v>
      </c>
      <c r="N2" s="7" t="s">
        <v>73</v>
      </c>
    </row>
    <row r="3">
      <c r="A3" s="2" t="s">
        <v>74</v>
      </c>
      <c r="B3" s="2" t="s">
        <v>75</v>
      </c>
      <c r="C3" s="7" t="s">
        <v>76</v>
      </c>
      <c r="D3" s="2" t="s">
        <v>77</v>
      </c>
      <c r="E3" s="8">
        <v>46046.6694444444</v>
      </c>
      <c r="F3" s="2">
        <v>0.0</v>
      </c>
      <c r="G3" s="2">
        <v>2.0</v>
      </c>
      <c r="H3" s="9" t="s">
        <v>78</v>
      </c>
      <c r="I3" s="9" t="s">
        <v>69</v>
      </c>
      <c r="J3" s="2">
        <v>0.0</v>
      </c>
      <c r="K3" s="2">
        <v>2.0</v>
      </c>
      <c r="L3" s="2">
        <v>0.0</v>
      </c>
      <c r="M3" s="8">
        <v>46047.6319444445</v>
      </c>
      <c r="N3" s="7" t="s">
        <v>73</v>
      </c>
    </row>
    <row r="4">
      <c r="A4" s="2" t="s">
        <v>79</v>
      </c>
      <c r="B4" s="2" t="s">
        <v>80</v>
      </c>
      <c r="C4" s="7" t="s">
        <v>81</v>
      </c>
      <c r="D4" s="2" t="s">
        <v>82</v>
      </c>
      <c r="E4" s="8">
        <v>46047.4166666667</v>
      </c>
      <c r="F4" s="2">
        <v>1.0</v>
      </c>
      <c r="G4" s="2">
        <v>1.0</v>
      </c>
      <c r="H4" s="9" t="s">
        <v>83</v>
      </c>
      <c r="I4" s="9" t="s">
        <v>69</v>
      </c>
      <c r="J4" s="2">
        <v>0.0</v>
      </c>
      <c r="K4" s="2">
        <v>1.0</v>
      </c>
      <c r="L4" s="2">
        <v>1.0</v>
      </c>
      <c r="M4" s="8">
        <v>46049.4583333333</v>
      </c>
      <c r="N4" s="7" t="s">
        <v>73</v>
      </c>
    </row>
    <row r="5">
      <c r="A5" s="2" t="s">
        <v>84</v>
      </c>
      <c r="B5" s="2" t="s">
        <v>85</v>
      </c>
      <c r="C5" s="2" t="s">
        <v>86</v>
      </c>
      <c r="D5" s="2" t="s">
        <v>87</v>
      </c>
      <c r="E5" s="8">
        <v>46047.625</v>
      </c>
      <c r="F5" s="2">
        <v>0.0</v>
      </c>
      <c r="G5" s="2">
        <v>2.0</v>
      </c>
      <c r="H5" s="9" t="s">
        <v>88</v>
      </c>
      <c r="I5" s="9" t="s">
        <v>69</v>
      </c>
      <c r="J5" s="2">
        <v>0.0</v>
      </c>
      <c r="K5" s="2">
        <v>2.0</v>
      </c>
      <c r="L5" s="2">
        <v>0.0</v>
      </c>
      <c r="M5" s="8">
        <v>46047.6319444445</v>
      </c>
      <c r="N5" s="7" t="s">
        <v>73</v>
      </c>
    </row>
    <row r="6">
      <c r="A6" s="3" t="s">
        <v>89</v>
      </c>
      <c r="B6" s="3">
        <v>6.0167229332E10</v>
      </c>
      <c r="D6" s="3" t="s">
        <v>90</v>
      </c>
      <c r="E6" s="10">
        <v>46054.25242263889</v>
      </c>
      <c r="F6" s="3">
        <v>996.0</v>
      </c>
      <c r="G6" s="10">
        <v>46084.25242263889</v>
      </c>
      <c r="H6" s="4">
        <v>1.0</v>
      </c>
      <c r="I6" s="3" t="s">
        <v>91</v>
      </c>
      <c r="K6" s="4">
        <v>0.0</v>
      </c>
      <c r="L6" s="4">
        <v>4.0</v>
      </c>
      <c r="M6" s="4">
        <v>0.0</v>
      </c>
      <c r="N6" s="11">
        <v>46055.88919785879</v>
      </c>
      <c r="O6" s="3" t="s">
        <v>73</v>
      </c>
    </row>
    <row r="7">
      <c r="A7" s="3" t="s">
        <v>92</v>
      </c>
      <c r="B7" s="3">
        <v>6.0167826207E10</v>
      </c>
      <c r="D7" s="3" t="s">
        <v>93</v>
      </c>
      <c r="E7" s="10">
        <v>46054.258644444446</v>
      </c>
      <c r="F7" s="4">
        <v>0.0</v>
      </c>
      <c r="G7" s="10">
        <v>46084.258644444446</v>
      </c>
      <c r="H7" s="4">
        <v>1.0</v>
      </c>
      <c r="I7" s="3" t="s">
        <v>94</v>
      </c>
      <c r="K7" s="4">
        <v>0.0</v>
      </c>
      <c r="L7" s="4">
        <v>1.0</v>
      </c>
      <c r="M7" s="4">
        <v>0.0</v>
      </c>
      <c r="N7" s="11">
        <v>46054.25869116899</v>
      </c>
      <c r="O7" s="3" t="s">
        <v>73</v>
      </c>
    </row>
    <row r="8">
      <c r="A8" s="3" t="s">
        <v>95</v>
      </c>
      <c r="B8" s="3">
        <v>6.0167229331E10</v>
      </c>
      <c r="D8" s="3" t="s">
        <v>90</v>
      </c>
      <c r="E8" s="10">
        <v>46054.27080728009</v>
      </c>
      <c r="F8" s="4">
        <v>0.0</v>
      </c>
      <c r="G8" s="10">
        <v>46084.27080728009</v>
      </c>
      <c r="H8" s="4">
        <v>1.0</v>
      </c>
      <c r="I8" s="3" t="s">
        <v>96</v>
      </c>
      <c r="K8" s="4">
        <v>0.0</v>
      </c>
      <c r="L8" s="4">
        <v>1.0</v>
      </c>
      <c r="M8" s="4">
        <v>0.0</v>
      </c>
      <c r="N8" s="11">
        <v>46054.2708621412</v>
      </c>
      <c r="O8" s="3" t="s">
        <v>73</v>
      </c>
    </row>
    <row r="9">
      <c r="A9" s="3" t="s">
        <v>97</v>
      </c>
      <c r="B9" s="3">
        <v>6.0167997281E10</v>
      </c>
      <c r="E9" s="10">
        <v>46055.88835197917</v>
      </c>
      <c r="F9" s="4">
        <v>0.0</v>
      </c>
      <c r="G9" s="10">
        <v>46085.88835197917</v>
      </c>
      <c r="H9" s="4">
        <v>1.0</v>
      </c>
      <c r="I9" s="3" t="s">
        <v>98</v>
      </c>
      <c r="K9" s="4">
        <v>0.0</v>
      </c>
      <c r="L9" s="4">
        <v>1.0</v>
      </c>
      <c r="M9" s="4">
        <v>0.0</v>
      </c>
      <c r="N9" s="11">
        <v>46055.88841</v>
      </c>
      <c r="O9" s="3" t="s">
        <v>73</v>
      </c>
    </row>
    <row r="10">
      <c r="A10" s="3" t="s">
        <v>99</v>
      </c>
      <c r="B10" s="3">
        <v>6.01271199E10</v>
      </c>
      <c r="E10" s="10">
        <v>46058.95431922453</v>
      </c>
      <c r="F10" s="4">
        <v>0.0</v>
      </c>
      <c r="G10" s="10">
        <v>46088.95431922453</v>
      </c>
      <c r="H10" s="4">
        <v>1.0</v>
      </c>
      <c r="I10" s="3" t="s">
        <v>100</v>
      </c>
      <c r="K10" s="4">
        <v>0.0</v>
      </c>
      <c r="L10" s="4">
        <v>1.0</v>
      </c>
      <c r="M10" s="4">
        <v>0.0</v>
      </c>
      <c r="N10" s="11">
        <v>46058.95437146991</v>
      </c>
      <c r="O10" s="3" t="s">
        <v>73</v>
      </c>
    </row>
    <row r="11">
      <c r="A11" s="3" t="s">
        <v>101</v>
      </c>
      <c r="B11" s="3">
        <v>6.0127073822E10</v>
      </c>
      <c r="E11" s="10">
        <v>46059.04542872685</v>
      </c>
      <c r="F11" s="4">
        <v>0.0</v>
      </c>
      <c r="G11" s="10">
        <v>46089.04542872685</v>
      </c>
      <c r="H11" s="4">
        <v>1.0</v>
      </c>
      <c r="I11" s="3" t="s">
        <v>102</v>
      </c>
      <c r="K11" s="4">
        <v>0.0</v>
      </c>
      <c r="L11" s="4">
        <v>1.0</v>
      </c>
      <c r="M11" s="4">
        <v>0.0</v>
      </c>
      <c r="N11" s="11">
        <v>46059.04549152778</v>
      </c>
      <c r="O11" s="3" t="s">
        <v>73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6.5"/>
    <col customWidth="1" min="3" max="11" width="13.13"/>
    <col customWidth="1" min="12" max="12" width="18.63"/>
    <col customWidth="1" min="13" max="14" width="13.13"/>
    <col customWidth="1" min="15" max="26" width="7.63"/>
  </cols>
  <sheetData>
    <row r="1">
      <c r="A1" s="12" t="s">
        <v>103</v>
      </c>
      <c r="B1" s="1" t="s">
        <v>104</v>
      </c>
      <c r="C1" s="1" t="s">
        <v>105</v>
      </c>
      <c r="D1" s="1" t="s">
        <v>56</v>
      </c>
      <c r="E1" s="1" t="s">
        <v>57</v>
      </c>
      <c r="F1" s="1" t="s">
        <v>106</v>
      </c>
      <c r="G1" s="1" t="s">
        <v>107</v>
      </c>
      <c r="H1" s="1" t="s">
        <v>108</v>
      </c>
      <c r="I1" s="13" t="s">
        <v>109</v>
      </c>
      <c r="J1" s="13" t="s">
        <v>110</v>
      </c>
      <c r="K1" s="1" t="s">
        <v>111</v>
      </c>
      <c r="L1" s="1" t="s">
        <v>112</v>
      </c>
      <c r="M1" s="1" t="s">
        <v>113</v>
      </c>
      <c r="N1" s="1" t="s">
        <v>114</v>
      </c>
    </row>
    <row r="2">
      <c r="A2" s="2" t="s">
        <v>115</v>
      </c>
      <c r="B2" s="8">
        <v>46047.6301851852</v>
      </c>
      <c r="C2" s="9" t="s">
        <v>84</v>
      </c>
      <c r="D2" s="9" t="s">
        <v>116</v>
      </c>
      <c r="E2" s="9" t="s">
        <v>86</v>
      </c>
      <c r="F2" s="7" t="s">
        <v>27</v>
      </c>
      <c r="G2" s="9" t="s">
        <v>117</v>
      </c>
      <c r="H2" s="8">
        <v>46077.0</v>
      </c>
      <c r="I2" s="7" t="s">
        <v>118</v>
      </c>
      <c r="J2" s="8">
        <v>46048.6298611111</v>
      </c>
      <c r="K2" s="7" t="s">
        <v>119</v>
      </c>
    </row>
    <row r="3">
      <c r="A3" s="2" t="s">
        <v>120</v>
      </c>
      <c r="B3" s="8">
        <v>46047.632037037</v>
      </c>
      <c r="C3" s="9" t="s">
        <v>74</v>
      </c>
      <c r="D3" s="9" t="s">
        <v>75</v>
      </c>
      <c r="E3" s="7" t="s">
        <v>76</v>
      </c>
      <c r="F3" s="7" t="s">
        <v>30</v>
      </c>
      <c r="G3" s="9" t="s">
        <v>121</v>
      </c>
      <c r="H3" s="8">
        <v>46077.0</v>
      </c>
      <c r="I3" s="7" t="s">
        <v>118</v>
      </c>
      <c r="J3" s="8">
        <v>46048.6319444445</v>
      </c>
      <c r="K3" s="7" t="s">
        <v>119</v>
      </c>
    </row>
    <row r="4">
      <c r="A4" s="2" t="s">
        <v>122</v>
      </c>
      <c r="B4" s="8">
        <v>46049.4409722222</v>
      </c>
      <c r="C4" s="9" t="s">
        <v>68</v>
      </c>
      <c r="D4" s="9" t="s">
        <v>69</v>
      </c>
      <c r="E4" s="7" t="s">
        <v>70</v>
      </c>
      <c r="F4" s="7" t="s">
        <v>17</v>
      </c>
      <c r="G4" s="9" t="s">
        <v>123</v>
      </c>
      <c r="H4" s="8">
        <v>46079.0</v>
      </c>
      <c r="I4" s="7" t="s">
        <v>118</v>
      </c>
      <c r="J4" s="8">
        <v>46050.4409722222</v>
      </c>
      <c r="K4" s="7" t="s">
        <v>124</v>
      </c>
      <c r="L4" s="8">
        <v>46049.5</v>
      </c>
      <c r="M4" s="9" t="s">
        <v>125</v>
      </c>
    </row>
    <row r="5">
      <c r="A5" s="2" t="s">
        <v>126</v>
      </c>
      <c r="B5" s="8">
        <v>46049.4599652778</v>
      </c>
      <c r="C5" s="9" t="s">
        <v>79</v>
      </c>
      <c r="D5" s="9" t="s">
        <v>80</v>
      </c>
      <c r="E5" s="7" t="s">
        <v>81</v>
      </c>
      <c r="F5" s="7" t="s">
        <v>33</v>
      </c>
      <c r="G5" s="9" t="s">
        <v>127</v>
      </c>
      <c r="H5" s="8">
        <v>46079.0</v>
      </c>
      <c r="I5" s="7" t="s">
        <v>128</v>
      </c>
      <c r="K5" s="7" t="s">
        <v>119</v>
      </c>
    </row>
    <row r="6">
      <c r="A6" s="3" t="s">
        <v>129</v>
      </c>
      <c r="B6" s="10">
        <v>46054.252456250004</v>
      </c>
      <c r="C6" s="3" t="s">
        <v>89</v>
      </c>
      <c r="D6" s="3">
        <v>6.0167229332E10</v>
      </c>
      <c r="F6" s="3" t="s">
        <v>33</v>
      </c>
      <c r="G6" s="3" t="s">
        <v>130</v>
      </c>
      <c r="H6" s="10">
        <v>46084.2524540625</v>
      </c>
      <c r="I6" s="3" t="s">
        <v>118</v>
      </c>
      <c r="J6" s="11">
        <v>46054.25282164352</v>
      </c>
      <c r="K6" s="3" t="s">
        <v>119</v>
      </c>
    </row>
    <row r="7">
      <c r="A7" s="3" t="s">
        <v>131</v>
      </c>
      <c r="B7" s="10">
        <v>46054.25868597222</v>
      </c>
      <c r="C7" s="3" t="s">
        <v>92</v>
      </c>
      <c r="D7" s="3">
        <v>6.0167826207E10</v>
      </c>
      <c r="F7" s="3" t="s">
        <v>27</v>
      </c>
      <c r="G7" s="3" t="s">
        <v>132</v>
      </c>
      <c r="H7" s="10">
        <v>46084.25868359953</v>
      </c>
      <c r="I7" s="3" t="s">
        <v>118</v>
      </c>
      <c r="J7" s="11">
        <v>46054.25920234954</v>
      </c>
      <c r="K7" s="3" t="s">
        <v>119</v>
      </c>
    </row>
    <row r="8">
      <c r="A8" s="3" t="s">
        <v>133</v>
      </c>
      <c r="B8" s="10">
        <v>46054.26386607639</v>
      </c>
      <c r="C8" s="3" t="s">
        <v>89</v>
      </c>
      <c r="D8" s="3">
        <v>6.0167229332E10</v>
      </c>
      <c r="F8" s="3" t="s">
        <v>36</v>
      </c>
      <c r="G8" s="3" t="s">
        <v>134</v>
      </c>
      <c r="H8" s="10">
        <v>46084.26385927083</v>
      </c>
      <c r="I8" s="3" t="s">
        <v>128</v>
      </c>
      <c r="K8" s="3" t="s">
        <v>119</v>
      </c>
    </row>
    <row r="9">
      <c r="A9" s="3" t="s">
        <v>135</v>
      </c>
      <c r="B9" s="10">
        <v>46054.26437377315</v>
      </c>
      <c r="C9" s="3" t="s">
        <v>89</v>
      </c>
      <c r="D9" s="3">
        <v>6.0167229332E10</v>
      </c>
      <c r="F9" s="3" t="s">
        <v>36</v>
      </c>
      <c r="G9" s="3" t="s">
        <v>136</v>
      </c>
      <c r="H9" s="10">
        <v>46084.26437160879</v>
      </c>
      <c r="I9" s="3" t="s">
        <v>128</v>
      </c>
      <c r="K9" s="3" t="s">
        <v>119</v>
      </c>
    </row>
    <row r="10">
      <c r="A10" s="3" t="s">
        <v>137</v>
      </c>
      <c r="B10" s="10">
        <v>46054.27085516204</v>
      </c>
      <c r="C10" s="3" t="s">
        <v>95</v>
      </c>
      <c r="D10" s="3">
        <v>6.0167229331E10</v>
      </c>
      <c r="F10" s="3" t="s">
        <v>30</v>
      </c>
      <c r="G10" s="3" t="s">
        <v>138</v>
      </c>
      <c r="H10" s="10">
        <v>46084.27085197916</v>
      </c>
      <c r="I10" s="3" t="s">
        <v>128</v>
      </c>
      <c r="K10" s="3" t="s">
        <v>119</v>
      </c>
    </row>
    <row r="11">
      <c r="A11" s="3" t="s">
        <v>139</v>
      </c>
      <c r="B11" s="10">
        <v>46055.88839763889</v>
      </c>
      <c r="C11" s="3" t="s">
        <v>97</v>
      </c>
      <c r="D11" s="3">
        <v>6.0167997281E10</v>
      </c>
      <c r="F11" s="3" t="s">
        <v>33</v>
      </c>
      <c r="G11" s="3" t="s">
        <v>140</v>
      </c>
      <c r="H11" s="10">
        <v>46085.88839460648</v>
      </c>
      <c r="I11" s="3" t="s">
        <v>118</v>
      </c>
      <c r="J11" s="11">
        <v>46055.89078619213</v>
      </c>
      <c r="K11" s="3" t="s">
        <v>119</v>
      </c>
    </row>
    <row r="12">
      <c r="A12" s="3" t="s">
        <v>141</v>
      </c>
      <c r="B12" s="10">
        <v>46055.88919390047</v>
      </c>
      <c r="C12" s="3" t="s">
        <v>89</v>
      </c>
      <c r="D12" s="3">
        <v>6.0167229332E10</v>
      </c>
      <c r="F12" s="3" t="s">
        <v>39</v>
      </c>
      <c r="G12" s="3" t="s">
        <v>142</v>
      </c>
      <c r="H12" s="10">
        <v>46085.88919202547</v>
      </c>
      <c r="I12" s="3" t="s">
        <v>128</v>
      </c>
      <c r="K12" s="3" t="s">
        <v>119</v>
      </c>
    </row>
    <row r="13">
      <c r="A13" s="3" t="s">
        <v>143</v>
      </c>
      <c r="B13" s="10">
        <v>46058.954363275465</v>
      </c>
      <c r="C13" s="3" t="s">
        <v>99</v>
      </c>
      <c r="D13" s="3">
        <v>6.01271199E10</v>
      </c>
      <c r="F13" s="3" t="s">
        <v>45</v>
      </c>
      <c r="G13" s="3" t="s">
        <v>144</v>
      </c>
      <c r="H13" s="10">
        <v>46088.954360497686</v>
      </c>
      <c r="I13" s="3" t="s">
        <v>118</v>
      </c>
      <c r="J13" s="11">
        <v>46058.954959560186</v>
      </c>
      <c r="K13" s="3" t="s">
        <v>119</v>
      </c>
    </row>
    <row r="14">
      <c r="A14" s="3" t="s">
        <v>145</v>
      </c>
      <c r="B14" s="10">
        <v>46059.04548527778</v>
      </c>
      <c r="C14" s="3" t="s">
        <v>101</v>
      </c>
      <c r="D14" s="3">
        <v>6.0127073822E10</v>
      </c>
      <c r="F14" s="3" t="s">
        <v>30</v>
      </c>
      <c r="G14" s="3" t="s">
        <v>146</v>
      </c>
      <c r="H14" s="10">
        <v>46089.04548256945</v>
      </c>
      <c r="I14" s="3" t="s">
        <v>128</v>
      </c>
      <c r="K14" s="3" t="s">
        <v>119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13.13"/>
    <col customWidth="1" min="7" max="26" width="7.63"/>
  </cols>
  <sheetData>
    <row r="1">
      <c r="A1" s="14" t="s">
        <v>147</v>
      </c>
    </row>
    <row r="3">
      <c r="A3" s="15" t="s">
        <v>148</v>
      </c>
      <c r="D3" s="15" t="s">
        <v>149</v>
      </c>
    </row>
    <row r="4">
      <c r="A4" s="7" t="s">
        <v>150</v>
      </c>
      <c r="B4" s="2">
        <f>COUNTA('用户数据'!A:A)-1</f>
        <v>0</v>
      </c>
      <c r="D4" s="16" t="s">
        <v>1</v>
      </c>
      <c r="E4" s="16" t="s">
        <v>151</v>
      </c>
    </row>
    <row r="5">
      <c r="A5" s="7" t="s">
        <v>152</v>
      </c>
      <c r="B5" s="2" t="str">
        <f>COUNTIF('用户数据'!E:E,"&gt;="&amp;TODAY())</f>
        <v>#REF!</v>
      </c>
    </row>
    <row r="6">
      <c r="A6" s="7" t="s">
        <v>65</v>
      </c>
      <c r="B6" s="2">
        <f>COUNTA('中奖记录 1'!A:A)-1</f>
        <v>0</v>
      </c>
    </row>
    <row r="7">
      <c r="A7" s="7" t="s">
        <v>66</v>
      </c>
      <c r="B7" s="2" t="str">
        <f>COUNTIF('中奖记录 1'!B:B,"&gt;="&amp;TODAY())</f>
        <v>#REF!</v>
      </c>
    </row>
    <row r="8">
      <c r="A8" s="7" t="s">
        <v>153</v>
      </c>
      <c r="B8" s="2" t="str">
        <f>COUNTIF('中奖记录 1'!K:K,"已核销")</f>
        <v>#REF!</v>
      </c>
    </row>
    <row r="9">
      <c r="A9" s="7" t="s">
        <v>154</v>
      </c>
      <c r="B9" s="2" t="str">
        <f>COUNTIF('中奖记录 1'!K:K,"未核销")</f>
        <v>#REF!</v>
      </c>
    </row>
    <row r="10">
      <c r="A10" s="7" t="s">
        <v>155</v>
      </c>
      <c r="B10" s="2" t="str">
        <f>IF(B7&gt;0,B8/B7,0)</f>
        <v>#REF!</v>
      </c>
    </row>
    <row r="11">
      <c r="A11" s="7" t="s">
        <v>156</v>
      </c>
      <c r="B11" s="2">
        <f>COUNTA('邀请记录'!A:A)-1</f>
        <v>3</v>
      </c>
    </row>
    <row r="14">
      <c r="A14" s="15" t="s">
        <v>157</v>
      </c>
    </row>
    <row r="15">
      <c r="A15" s="16" t="s">
        <v>1</v>
      </c>
      <c r="B15" s="16" t="s">
        <v>5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8" width="13.13"/>
    <col customWidth="1" min="9" max="26" width="7.63"/>
  </cols>
  <sheetData>
    <row r="1">
      <c r="A1" s="1" t="s">
        <v>158</v>
      </c>
      <c r="B1" s="1" t="s">
        <v>159</v>
      </c>
      <c r="C1" s="1" t="s">
        <v>63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9</v>
      </c>
    </row>
    <row r="2">
      <c r="A2" s="2" t="s">
        <v>164</v>
      </c>
      <c r="B2" s="8">
        <v>46046.6694444444</v>
      </c>
      <c r="C2" s="9" t="s">
        <v>69</v>
      </c>
      <c r="D2" s="7" t="s">
        <v>70</v>
      </c>
      <c r="E2" s="9" t="s">
        <v>75</v>
      </c>
      <c r="F2" s="7" t="s">
        <v>76</v>
      </c>
      <c r="G2" s="2">
        <v>1.0</v>
      </c>
      <c r="H2" s="7" t="s">
        <v>165</v>
      </c>
    </row>
    <row r="3">
      <c r="A3" s="2" t="s">
        <v>166</v>
      </c>
      <c r="B3" s="8">
        <v>46047.4166666667</v>
      </c>
      <c r="C3" s="9" t="s">
        <v>69</v>
      </c>
      <c r="D3" s="7" t="s">
        <v>70</v>
      </c>
      <c r="E3" s="9" t="s">
        <v>80</v>
      </c>
      <c r="F3" s="7" t="s">
        <v>81</v>
      </c>
      <c r="G3" s="2">
        <v>1.0</v>
      </c>
      <c r="H3" s="7" t="s">
        <v>165</v>
      </c>
    </row>
    <row r="4">
      <c r="A4" s="2" t="s">
        <v>167</v>
      </c>
      <c r="B4" s="8">
        <v>46047.625</v>
      </c>
      <c r="C4" s="9" t="s">
        <v>69</v>
      </c>
      <c r="D4" s="7" t="s">
        <v>70</v>
      </c>
      <c r="E4" s="9" t="s">
        <v>85</v>
      </c>
      <c r="F4" s="9" t="s">
        <v>86</v>
      </c>
      <c r="G4" s="2">
        <v>1.0</v>
      </c>
      <c r="H4" s="7" t="s">
        <v>165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8" width="13.13"/>
    <col customWidth="1" min="9" max="26" width="7.63"/>
  </cols>
  <sheetData>
    <row r="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9</v>
      </c>
      <c r="G1" s="1" t="s">
        <v>173</v>
      </c>
      <c r="H1" s="1" t="s">
        <v>174</v>
      </c>
    </row>
    <row r="2">
      <c r="A2" s="2" t="s">
        <v>175</v>
      </c>
      <c r="B2" s="7" t="s">
        <v>176</v>
      </c>
      <c r="C2" s="2" t="s">
        <v>177</v>
      </c>
      <c r="D2" s="2" t="s">
        <v>178</v>
      </c>
      <c r="E2" s="2" t="s">
        <v>179</v>
      </c>
      <c r="F2" s="7" t="s">
        <v>15</v>
      </c>
      <c r="G2" s="8">
        <v>46023.0</v>
      </c>
      <c r="H2" s="17">
        <v>46058.954643854166</v>
      </c>
    </row>
    <row r="3">
      <c r="A3" s="2" t="s">
        <v>180</v>
      </c>
      <c r="B3" s="7" t="s">
        <v>181</v>
      </c>
      <c r="C3" s="2" t="s">
        <v>182</v>
      </c>
      <c r="D3" s="2" t="s">
        <v>183</v>
      </c>
      <c r="E3" s="2" t="s">
        <v>184</v>
      </c>
      <c r="F3" s="7" t="s">
        <v>15</v>
      </c>
      <c r="G3" s="8">
        <v>46023.0</v>
      </c>
      <c r="H3" s="8">
        <v>46049.4166666667</v>
      </c>
    </row>
    <row r="4">
      <c r="A4" s="2" t="s">
        <v>185</v>
      </c>
      <c r="B4" s="7" t="s">
        <v>186</v>
      </c>
      <c r="C4" s="2" t="s">
        <v>187</v>
      </c>
      <c r="D4" s="2" t="s">
        <v>188</v>
      </c>
      <c r="E4" s="2" t="s">
        <v>189</v>
      </c>
      <c r="F4" s="7" t="s">
        <v>15</v>
      </c>
      <c r="G4" s="8">
        <v>46037.0</v>
      </c>
      <c r="H4" s="8">
        <v>46048.75</v>
      </c>
    </row>
    <row r="5">
      <c r="A5" s="2" t="s">
        <v>190</v>
      </c>
      <c r="B5" s="7" t="s">
        <v>191</v>
      </c>
      <c r="C5" s="2" t="s">
        <v>192</v>
      </c>
      <c r="D5" s="2" t="s">
        <v>193</v>
      </c>
      <c r="E5" s="2" t="s">
        <v>189</v>
      </c>
      <c r="F5" s="7" t="s">
        <v>15</v>
      </c>
      <c r="G5" s="8">
        <v>46037.0</v>
      </c>
    </row>
    <row r="6">
      <c r="A6" s="3" t="s">
        <v>194</v>
      </c>
      <c r="B6" s="3" t="s">
        <v>195</v>
      </c>
      <c r="C6" s="3">
        <v>1002.0</v>
      </c>
      <c r="D6" s="3">
        <v>2001.0</v>
      </c>
      <c r="E6" s="3" t="s">
        <v>184</v>
      </c>
      <c r="F6" s="3" t="s">
        <v>15</v>
      </c>
      <c r="G6" s="10">
        <v>46057.817176875</v>
      </c>
    </row>
    <row r="7">
      <c r="A7" s="3" t="s">
        <v>196</v>
      </c>
      <c r="B7" s="3">
        <v>1009.0</v>
      </c>
      <c r="C7" s="3">
        <v>1009.0</v>
      </c>
      <c r="D7" s="3">
        <v>9001.0</v>
      </c>
      <c r="E7" s="3" t="s">
        <v>184</v>
      </c>
      <c r="F7" s="3" t="s">
        <v>15</v>
      </c>
      <c r="G7" s="10">
        <v>46057.81739938658</v>
      </c>
    </row>
    <row r="8">
      <c r="A8" s="3" t="s">
        <v>197</v>
      </c>
      <c r="B8" s="3" t="s">
        <v>198</v>
      </c>
      <c r="C8" s="3">
        <v>1004.0</v>
      </c>
      <c r="D8" s="3">
        <v>4001.0</v>
      </c>
      <c r="E8" s="3" t="s">
        <v>189</v>
      </c>
      <c r="F8" s="3" t="s">
        <v>15</v>
      </c>
      <c r="G8" s="10">
        <v>46057.81774518518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52.5"/>
    <col customWidth="1" min="3" max="3" width="21.88"/>
    <col customWidth="1" min="4" max="26" width="7.63"/>
  </cols>
  <sheetData>
    <row r="1">
      <c r="A1" s="1" t="s">
        <v>199</v>
      </c>
      <c r="B1" s="1" t="s">
        <v>200</v>
      </c>
      <c r="C1" s="1" t="s">
        <v>201</v>
      </c>
    </row>
    <row r="2">
      <c r="A2" s="2" t="s">
        <v>202</v>
      </c>
      <c r="B2" s="7" t="s">
        <v>203</v>
      </c>
      <c r="C2" s="7" t="s">
        <v>204</v>
      </c>
    </row>
    <row r="3">
      <c r="A3" s="2" t="s">
        <v>205</v>
      </c>
      <c r="B3" s="7" t="s">
        <v>206</v>
      </c>
      <c r="C3" s="7" t="s">
        <v>207</v>
      </c>
    </row>
    <row r="4">
      <c r="A4" s="2" t="s">
        <v>208</v>
      </c>
      <c r="B4" s="2" t="s">
        <v>209</v>
      </c>
      <c r="C4" s="7" t="s">
        <v>210</v>
      </c>
    </row>
    <row r="5">
      <c r="A5" s="2" t="s">
        <v>211</v>
      </c>
      <c r="B5" s="2" t="s">
        <v>212</v>
      </c>
      <c r="C5" s="7" t="s">
        <v>213</v>
      </c>
    </row>
    <row r="6">
      <c r="A6" s="2" t="s">
        <v>214</v>
      </c>
      <c r="B6" s="2" t="s">
        <v>215</v>
      </c>
      <c r="C6" s="7" t="s">
        <v>216</v>
      </c>
    </row>
    <row r="7">
      <c r="A7" s="2" t="s">
        <v>217</v>
      </c>
      <c r="B7" s="2" t="s">
        <v>218</v>
      </c>
      <c r="C7" s="7" t="s">
        <v>219</v>
      </c>
    </row>
    <row r="8">
      <c r="A8" s="2" t="s">
        <v>220</v>
      </c>
      <c r="B8" s="2" t="s">
        <v>221</v>
      </c>
      <c r="C8" s="7" t="s">
        <v>222</v>
      </c>
    </row>
    <row r="9">
      <c r="A9" s="2" t="s">
        <v>223</v>
      </c>
      <c r="B9" s="2" t="s">
        <v>221</v>
      </c>
      <c r="C9" s="7" t="s">
        <v>224</v>
      </c>
    </row>
    <row r="10">
      <c r="A10" s="2" t="s">
        <v>225</v>
      </c>
      <c r="B10" s="2" t="s">
        <v>221</v>
      </c>
      <c r="C10" s="7" t="s">
        <v>226</v>
      </c>
    </row>
    <row r="11">
      <c r="A11" s="2" t="s">
        <v>227</v>
      </c>
      <c r="B11" s="2" t="s">
        <v>228</v>
      </c>
      <c r="C11" s="7" t="s">
        <v>229</v>
      </c>
    </row>
    <row r="12">
      <c r="A12" s="2" t="s">
        <v>230</v>
      </c>
      <c r="B12" s="2" t="s">
        <v>231</v>
      </c>
      <c r="C12" s="7" t="s">
        <v>232</v>
      </c>
    </row>
    <row r="13">
      <c r="A13" s="2" t="s">
        <v>233</v>
      </c>
      <c r="B13" s="2" t="s">
        <v>234</v>
      </c>
      <c r="C13" s="2" t="s">
        <v>235</v>
      </c>
    </row>
    <row r="14">
      <c r="A14" s="2" t="s">
        <v>236</v>
      </c>
      <c r="B14" s="2" t="s">
        <v>237</v>
      </c>
      <c r="C14" s="2" t="s">
        <v>238</v>
      </c>
    </row>
    <row r="15">
      <c r="A15" s="2" t="s">
        <v>239</v>
      </c>
      <c r="C15" s="2" t="s">
        <v>240</v>
      </c>
    </row>
    <row r="16">
      <c r="A16" s="2" t="s">
        <v>241</v>
      </c>
      <c r="C16" s="2" t="s">
        <v>242</v>
      </c>
    </row>
    <row r="17">
      <c r="A17" s="2" t="s">
        <v>243</v>
      </c>
      <c r="B17" s="18" t="s">
        <v>244</v>
      </c>
      <c r="C17" s="2" t="s">
        <v>245</v>
      </c>
    </row>
    <row r="18">
      <c r="A18" s="2" t="s">
        <v>246</v>
      </c>
      <c r="B18" s="2" t="s">
        <v>247</v>
      </c>
      <c r="C18" s="7" t="s">
        <v>248</v>
      </c>
    </row>
    <row r="19">
      <c r="A19" s="2" t="s">
        <v>249</v>
      </c>
      <c r="B19" s="2" t="s">
        <v>250</v>
      </c>
      <c r="C19" s="7" t="s">
        <v>251</v>
      </c>
    </row>
    <row r="20">
      <c r="A20" s="2" t="s">
        <v>252</v>
      </c>
      <c r="B20" s="2" t="s">
        <v>253</v>
      </c>
      <c r="C20" s="7" t="s">
        <v>254</v>
      </c>
    </row>
    <row r="21">
      <c r="A21" s="2" t="s">
        <v>255</v>
      </c>
      <c r="B21" s="2" t="s">
        <v>256</v>
      </c>
      <c r="C21" s="7" t="s">
        <v>257</v>
      </c>
    </row>
    <row r="22">
      <c r="A22" s="2" t="s">
        <v>258</v>
      </c>
      <c r="B22" s="7" t="s">
        <v>259</v>
      </c>
      <c r="C22" s="7" t="s">
        <v>260</v>
      </c>
    </row>
    <row r="23">
      <c r="A23" s="2" t="s">
        <v>261</v>
      </c>
      <c r="B23" s="7" t="s">
        <v>262</v>
      </c>
      <c r="C23" s="7" t="s">
        <v>263</v>
      </c>
    </row>
    <row r="24">
      <c r="A24" s="2" t="s">
        <v>264</v>
      </c>
      <c r="B24" s="2" t="s">
        <v>265</v>
      </c>
      <c r="C24" s="7" t="s">
        <v>266</v>
      </c>
    </row>
    <row r="25">
      <c r="A25" s="3" t="s">
        <v>267</v>
      </c>
      <c r="B25" s="19" t="s">
        <v>268</v>
      </c>
      <c r="C25" s="3" t="s">
        <v>269</v>
      </c>
    </row>
    <row r="26">
      <c r="A26" s="3" t="s">
        <v>270</v>
      </c>
      <c r="C26" s="3" t="s">
        <v>271</v>
      </c>
    </row>
    <row r="27">
      <c r="A27" s="3" t="s">
        <v>272</v>
      </c>
      <c r="B27" s="3" t="b">
        <v>1</v>
      </c>
      <c r="C27" s="3" t="s">
        <v>273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ref="B25"/>
  </hyperlinks>
  <printOptions/>
  <pageMargins bottom="1.0" footer="0.0" header="0.0" left="0.75" right="0.75" top="1.0"/>
  <pageSetup paperSize="9"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13.13"/>
    <col customWidth="1" min="6" max="6" width="39.38"/>
    <col customWidth="1" min="7" max="7" width="13.13"/>
    <col customWidth="1" min="8" max="26" width="7.63"/>
  </cols>
  <sheetData>
    <row r="1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3" t="s">
        <v>280</v>
      </c>
    </row>
    <row r="2">
      <c r="A2" s="2" t="s">
        <v>281</v>
      </c>
      <c r="B2" s="8">
        <v>46046.6689236111</v>
      </c>
      <c r="C2" s="9" t="s">
        <v>282</v>
      </c>
      <c r="E2" s="7" t="s">
        <v>283</v>
      </c>
      <c r="F2" s="7" t="s">
        <v>284</v>
      </c>
    </row>
    <row r="3">
      <c r="A3" s="2" t="s">
        <v>285</v>
      </c>
      <c r="B3" s="8">
        <v>46046.6694444444</v>
      </c>
      <c r="C3" s="9" t="s">
        <v>282</v>
      </c>
      <c r="E3" s="7" t="s">
        <v>286</v>
      </c>
      <c r="F3" s="9" t="s">
        <v>287</v>
      </c>
    </row>
    <row r="4">
      <c r="A4" s="2" t="s">
        <v>288</v>
      </c>
      <c r="B4" s="8">
        <v>46049.4409722222</v>
      </c>
      <c r="C4" s="9" t="s">
        <v>282</v>
      </c>
      <c r="E4" s="7" t="s">
        <v>289</v>
      </c>
      <c r="F4" s="9" t="s">
        <v>290</v>
      </c>
    </row>
    <row r="5">
      <c r="A5" s="2" t="s">
        <v>291</v>
      </c>
      <c r="B5" s="8">
        <v>46049.5</v>
      </c>
      <c r="C5" s="9" t="s">
        <v>125</v>
      </c>
      <c r="D5" s="9" t="s">
        <v>175</v>
      </c>
      <c r="E5" s="7" t="s">
        <v>292</v>
      </c>
      <c r="F5" s="7" t="s">
        <v>293</v>
      </c>
      <c r="G5" s="9" t="s">
        <v>294</v>
      </c>
    </row>
    <row r="6">
      <c r="A6" s="2" t="s">
        <v>295</v>
      </c>
      <c r="B6" s="8">
        <v>46049.6666666667</v>
      </c>
      <c r="C6" s="9" t="s">
        <v>125</v>
      </c>
      <c r="D6" s="9" t="s">
        <v>175</v>
      </c>
      <c r="E6" s="7" t="s">
        <v>296</v>
      </c>
      <c r="F6" s="7" t="s">
        <v>297</v>
      </c>
      <c r="G6" s="9" t="s">
        <v>294</v>
      </c>
    </row>
    <row r="7">
      <c r="A7" s="3" t="s">
        <v>298</v>
      </c>
      <c r="B7" s="10">
        <v>46054.24780039352</v>
      </c>
      <c r="C7" s="3" t="s">
        <v>176</v>
      </c>
      <c r="D7" s="3" t="s">
        <v>179</v>
      </c>
      <c r="E7" s="3" t="s">
        <v>296</v>
      </c>
      <c r="F7" s="3" t="s">
        <v>299</v>
      </c>
    </row>
    <row r="8">
      <c r="A8" s="3" t="s">
        <v>300</v>
      </c>
      <c r="B8" s="10">
        <v>46054.24781615741</v>
      </c>
      <c r="C8" s="3" t="s">
        <v>176</v>
      </c>
      <c r="D8" s="3" t="s">
        <v>179</v>
      </c>
      <c r="E8" s="3" t="s">
        <v>296</v>
      </c>
      <c r="F8" s="3" t="s">
        <v>299</v>
      </c>
    </row>
    <row r="9">
      <c r="A9" s="3" t="s">
        <v>301</v>
      </c>
      <c r="B9" s="10">
        <v>46054.25116151621</v>
      </c>
      <c r="C9" s="3" t="s">
        <v>176</v>
      </c>
      <c r="D9" s="3" t="s">
        <v>179</v>
      </c>
      <c r="E9" s="3" t="s">
        <v>296</v>
      </c>
      <c r="F9" s="3" t="s">
        <v>299</v>
      </c>
    </row>
    <row r="10">
      <c r="A10" s="3" t="s">
        <v>302</v>
      </c>
      <c r="B10" s="10">
        <v>46054.25242645833</v>
      </c>
      <c r="C10" s="3" t="s">
        <v>282</v>
      </c>
      <c r="E10" s="3" t="s">
        <v>283</v>
      </c>
      <c r="F10" s="3" t="s">
        <v>303</v>
      </c>
    </row>
    <row r="11">
      <c r="A11" s="3" t="s">
        <v>304</v>
      </c>
      <c r="B11" s="10">
        <v>46054.252463993056</v>
      </c>
      <c r="C11" s="3" t="s">
        <v>282</v>
      </c>
      <c r="E11" s="3" t="s">
        <v>289</v>
      </c>
      <c r="F11" s="3" t="s">
        <v>305</v>
      </c>
    </row>
    <row r="12">
      <c r="A12" s="3" t="s">
        <v>306</v>
      </c>
      <c r="B12" s="10">
        <v>46054.252823993054</v>
      </c>
      <c r="C12" s="3" t="s">
        <v>176</v>
      </c>
      <c r="D12" s="3" t="s">
        <v>179</v>
      </c>
      <c r="E12" s="3" t="s">
        <v>307</v>
      </c>
      <c r="F12" s="3" t="s">
        <v>308</v>
      </c>
    </row>
    <row r="13">
      <c r="A13" s="3" t="s">
        <v>309</v>
      </c>
      <c r="B13" s="10">
        <v>46054.25864706018</v>
      </c>
      <c r="C13" s="3" t="s">
        <v>282</v>
      </c>
      <c r="E13" s="3" t="s">
        <v>283</v>
      </c>
      <c r="F13" s="3" t="s">
        <v>310</v>
      </c>
    </row>
    <row r="14">
      <c r="A14" s="3" t="s">
        <v>311</v>
      </c>
      <c r="B14" s="10">
        <v>46054.25869365741</v>
      </c>
      <c r="C14" s="3" t="s">
        <v>282</v>
      </c>
      <c r="E14" s="3" t="s">
        <v>289</v>
      </c>
      <c r="F14" s="3" t="s">
        <v>312</v>
      </c>
    </row>
    <row r="15">
      <c r="A15" s="3" t="s">
        <v>313</v>
      </c>
      <c r="B15" s="10">
        <v>46054.259205254624</v>
      </c>
      <c r="C15" s="3" t="s">
        <v>176</v>
      </c>
      <c r="D15" s="3" t="s">
        <v>179</v>
      </c>
      <c r="E15" s="3" t="s">
        <v>307</v>
      </c>
      <c r="F15" s="3" t="s">
        <v>314</v>
      </c>
    </row>
    <row r="16">
      <c r="A16" s="3" t="s">
        <v>315</v>
      </c>
      <c r="B16" s="10">
        <v>46054.26387232639</v>
      </c>
      <c r="C16" s="3" t="s">
        <v>282</v>
      </c>
      <c r="E16" s="3" t="s">
        <v>289</v>
      </c>
      <c r="F16" s="3" t="s">
        <v>316</v>
      </c>
    </row>
    <row r="17">
      <c r="A17" s="3" t="s">
        <v>317</v>
      </c>
      <c r="B17" s="10">
        <v>46054.264385648145</v>
      </c>
      <c r="C17" s="3" t="s">
        <v>282</v>
      </c>
      <c r="E17" s="3" t="s">
        <v>289</v>
      </c>
      <c r="F17" s="3" t="s">
        <v>318</v>
      </c>
    </row>
    <row r="18">
      <c r="A18" s="3" t="s">
        <v>319</v>
      </c>
      <c r="B18" s="10">
        <v>46054.27081078704</v>
      </c>
      <c r="C18" s="3" t="s">
        <v>282</v>
      </c>
      <c r="E18" s="3" t="s">
        <v>283</v>
      </c>
      <c r="F18" s="3" t="s">
        <v>320</v>
      </c>
    </row>
    <row r="19">
      <c r="A19" s="3" t="s">
        <v>321</v>
      </c>
      <c r="B19" s="10">
        <v>46054.27086498843</v>
      </c>
      <c r="C19" s="3" t="s">
        <v>282</v>
      </c>
      <c r="E19" s="3" t="s">
        <v>289</v>
      </c>
      <c r="F19" s="3" t="s">
        <v>322</v>
      </c>
    </row>
    <row r="20">
      <c r="A20" s="3" t="s">
        <v>323</v>
      </c>
      <c r="B20" s="10">
        <v>46054.2869665162</v>
      </c>
      <c r="C20" s="3" t="s">
        <v>176</v>
      </c>
      <c r="D20" s="3" t="s">
        <v>179</v>
      </c>
      <c r="E20" s="3" t="s">
        <v>296</v>
      </c>
      <c r="F20" s="3" t="s">
        <v>299</v>
      </c>
    </row>
    <row r="21">
      <c r="A21" s="3" t="s">
        <v>324</v>
      </c>
      <c r="B21" s="10">
        <v>46054.2870987037</v>
      </c>
      <c r="C21" s="3" t="s">
        <v>179</v>
      </c>
      <c r="E21" s="3" t="s">
        <v>325</v>
      </c>
      <c r="F21" s="3" t="s">
        <v>326</v>
      </c>
    </row>
    <row r="22">
      <c r="A22" s="3" t="s">
        <v>327</v>
      </c>
      <c r="B22" s="10">
        <v>46054.28877061342</v>
      </c>
      <c r="C22" s="3" t="s">
        <v>179</v>
      </c>
      <c r="E22" s="3" t="s">
        <v>325</v>
      </c>
      <c r="F22" s="3" t="s">
        <v>328</v>
      </c>
    </row>
    <row r="23">
      <c r="A23" s="3" t="s">
        <v>329</v>
      </c>
      <c r="B23" s="10">
        <v>46054.2900871412</v>
      </c>
      <c r="C23" s="3" t="s">
        <v>179</v>
      </c>
      <c r="E23" s="3" t="s">
        <v>325</v>
      </c>
      <c r="F23" s="3" t="s">
        <v>328</v>
      </c>
    </row>
    <row r="24">
      <c r="A24" s="3" t="s">
        <v>330</v>
      </c>
      <c r="B24" s="10">
        <v>46054.290458310184</v>
      </c>
      <c r="C24" s="3" t="s">
        <v>179</v>
      </c>
      <c r="E24" s="3" t="s">
        <v>325</v>
      </c>
      <c r="F24" s="3" t="s">
        <v>328</v>
      </c>
    </row>
    <row r="25">
      <c r="A25" s="3" t="s">
        <v>331</v>
      </c>
      <c r="B25" s="10">
        <v>46054.29085388889</v>
      </c>
      <c r="C25" s="3" t="s">
        <v>179</v>
      </c>
      <c r="E25" s="3" t="s">
        <v>325</v>
      </c>
      <c r="F25" s="3" t="s">
        <v>328</v>
      </c>
    </row>
    <row r="26">
      <c r="A26" s="3" t="s">
        <v>332</v>
      </c>
      <c r="B26" s="10">
        <v>46054.29097003472</v>
      </c>
      <c r="C26" s="3" t="s">
        <v>179</v>
      </c>
      <c r="E26" s="3" t="s">
        <v>325</v>
      </c>
      <c r="F26" s="3" t="s">
        <v>328</v>
      </c>
    </row>
    <row r="27">
      <c r="A27" s="3" t="s">
        <v>333</v>
      </c>
      <c r="B27" s="10">
        <v>46054.29887351852</v>
      </c>
      <c r="C27" s="3" t="s">
        <v>176</v>
      </c>
      <c r="D27" s="3" t="s">
        <v>179</v>
      </c>
      <c r="E27" s="3" t="s">
        <v>296</v>
      </c>
      <c r="F27" s="3" t="s">
        <v>299</v>
      </c>
    </row>
    <row r="28">
      <c r="A28" s="3" t="s">
        <v>334</v>
      </c>
      <c r="B28" s="10">
        <v>46054.29971086806</v>
      </c>
      <c r="C28" s="3" t="s">
        <v>179</v>
      </c>
      <c r="E28" s="3" t="s">
        <v>325</v>
      </c>
      <c r="F28" s="3" t="s">
        <v>328</v>
      </c>
    </row>
    <row r="29">
      <c r="A29" s="3" t="s">
        <v>335</v>
      </c>
      <c r="B29" s="10">
        <v>46054.29985664352</v>
      </c>
      <c r="C29" s="3" t="s">
        <v>179</v>
      </c>
      <c r="E29" s="3" t="s">
        <v>325</v>
      </c>
      <c r="F29" s="3" t="s">
        <v>328</v>
      </c>
    </row>
    <row r="30">
      <c r="A30" s="3" t="s">
        <v>336</v>
      </c>
      <c r="B30" s="10">
        <v>46054.300068032404</v>
      </c>
      <c r="C30" s="3" t="s">
        <v>179</v>
      </c>
      <c r="E30" s="3" t="s">
        <v>325</v>
      </c>
      <c r="F30" s="3" t="s">
        <v>328</v>
      </c>
    </row>
    <row r="31">
      <c r="A31" s="3" t="s">
        <v>337</v>
      </c>
      <c r="B31" s="10">
        <v>46054.30131913195</v>
      </c>
      <c r="C31" s="3" t="s">
        <v>179</v>
      </c>
      <c r="E31" s="3" t="s">
        <v>325</v>
      </c>
      <c r="F31" s="3" t="s">
        <v>328</v>
      </c>
    </row>
    <row r="32">
      <c r="A32" s="3" t="s">
        <v>338</v>
      </c>
      <c r="B32" s="10">
        <v>46054.30157938658</v>
      </c>
      <c r="C32" s="3" t="s">
        <v>179</v>
      </c>
      <c r="E32" s="3" t="s">
        <v>325</v>
      </c>
      <c r="F32" s="3" t="s">
        <v>328</v>
      </c>
    </row>
    <row r="33">
      <c r="A33" s="3" t="s">
        <v>339</v>
      </c>
      <c r="B33" s="10">
        <v>46054.3021275</v>
      </c>
      <c r="C33" s="3" t="s">
        <v>179</v>
      </c>
      <c r="E33" s="3" t="s">
        <v>325</v>
      </c>
      <c r="F33" s="3" t="s">
        <v>328</v>
      </c>
    </row>
    <row r="34">
      <c r="A34" s="3" t="s">
        <v>340</v>
      </c>
      <c r="B34" s="10">
        <v>46054.76081516204</v>
      </c>
      <c r="C34" s="3" t="s">
        <v>176</v>
      </c>
      <c r="D34" s="3" t="s">
        <v>179</v>
      </c>
      <c r="E34" s="3" t="s">
        <v>296</v>
      </c>
      <c r="F34" s="3" t="s">
        <v>299</v>
      </c>
    </row>
    <row r="35">
      <c r="A35" s="3" t="s">
        <v>341</v>
      </c>
      <c r="B35" s="10">
        <v>46054.76082787037</v>
      </c>
      <c r="C35" s="3" t="s">
        <v>176</v>
      </c>
      <c r="D35" s="3" t="s">
        <v>179</v>
      </c>
      <c r="E35" s="3" t="s">
        <v>296</v>
      </c>
      <c r="F35" s="3" t="s">
        <v>299</v>
      </c>
    </row>
    <row r="36">
      <c r="A36" s="3" t="s">
        <v>342</v>
      </c>
      <c r="B36" s="10">
        <v>46055.88835631944</v>
      </c>
      <c r="C36" s="3" t="s">
        <v>282</v>
      </c>
      <c r="E36" s="3" t="s">
        <v>283</v>
      </c>
      <c r="F36" s="3" t="s">
        <v>343</v>
      </c>
    </row>
    <row r="37">
      <c r="A37" s="3" t="s">
        <v>344</v>
      </c>
      <c r="B37" s="10">
        <v>46055.88841269676</v>
      </c>
      <c r="C37" s="3" t="s">
        <v>282</v>
      </c>
      <c r="E37" s="3" t="s">
        <v>289</v>
      </c>
      <c r="F37" s="3" t="s">
        <v>345</v>
      </c>
    </row>
    <row r="38">
      <c r="A38" s="3" t="s">
        <v>346</v>
      </c>
      <c r="B38" s="10">
        <v>46055.88919969907</v>
      </c>
      <c r="C38" s="3" t="s">
        <v>282</v>
      </c>
      <c r="E38" s="3" t="s">
        <v>289</v>
      </c>
      <c r="F38" s="3" t="s">
        <v>347</v>
      </c>
    </row>
    <row r="39">
      <c r="A39" s="3" t="s">
        <v>348</v>
      </c>
      <c r="B39" s="10">
        <v>46055.890398414354</v>
      </c>
      <c r="C39" s="3" t="s">
        <v>176</v>
      </c>
      <c r="D39" s="3" t="s">
        <v>179</v>
      </c>
      <c r="E39" s="3" t="s">
        <v>296</v>
      </c>
      <c r="F39" s="3" t="s">
        <v>299</v>
      </c>
    </row>
    <row r="40">
      <c r="A40" s="3" t="s">
        <v>349</v>
      </c>
      <c r="B40" s="10">
        <v>46055.89078903935</v>
      </c>
      <c r="C40" s="3" t="s">
        <v>176</v>
      </c>
      <c r="D40" s="3" t="s">
        <v>179</v>
      </c>
      <c r="E40" s="3" t="s">
        <v>307</v>
      </c>
      <c r="F40" s="3" t="s">
        <v>350</v>
      </c>
    </row>
    <row r="41">
      <c r="A41" s="3" t="s">
        <v>351</v>
      </c>
      <c r="B41" s="10">
        <v>46057.81235364583</v>
      </c>
      <c r="C41" s="3" t="s">
        <v>176</v>
      </c>
      <c r="D41" s="3" t="s">
        <v>179</v>
      </c>
      <c r="E41" s="3" t="s">
        <v>296</v>
      </c>
      <c r="F41" s="3" t="s">
        <v>299</v>
      </c>
    </row>
    <row r="42">
      <c r="A42" s="3" t="s">
        <v>352</v>
      </c>
      <c r="B42" s="10">
        <v>46057.81237679398</v>
      </c>
      <c r="C42" s="3" t="s">
        <v>176</v>
      </c>
      <c r="D42" s="3" t="s">
        <v>179</v>
      </c>
      <c r="E42" s="3" t="s">
        <v>296</v>
      </c>
      <c r="F42" s="3" t="s">
        <v>299</v>
      </c>
    </row>
    <row r="43">
      <c r="A43" s="3" t="s">
        <v>353</v>
      </c>
      <c r="B43" s="10">
        <v>46058.95432217592</v>
      </c>
      <c r="C43" s="3" t="s">
        <v>282</v>
      </c>
      <c r="E43" s="3" t="s">
        <v>283</v>
      </c>
      <c r="F43" s="3" t="s">
        <v>354</v>
      </c>
    </row>
    <row r="44">
      <c r="A44" s="3" t="s">
        <v>355</v>
      </c>
      <c r="B44" s="10">
        <v>46058.954374016204</v>
      </c>
      <c r="C44" s="3" t="s">
        <v>282</v>
      </c>
      <c r="E44" s="3" t="s">
        <v>289</v>
      </c>
      <c r="F44" s="3" t="s">
        <v>356</v>
      </c>
    </row>
    <row r="45">
      <c r="A45" s="3" t="s">
        <v>357</v>
      </c>
      <c r="B45" s="10">
        <v>46058.95462466435</v>
      </c>
      <c r="C45" s="3" t="s">
        <v>176</v>
      </c>
      <c r="D45" s="3" t="s">
        <v>179</v>
      </c>
      <c r="E45" s="3" t="s">
        <v>296</v>
      </c>
      <c r="F45" s="3" t="s">
        <v>299</v>
      </c>
    </row>
    <row r="46">
      <c r="A46" s="3" t="s">
        <v>358</v>
      </c>
      <c r="B46" s="10">
        <v>46058.95464649306</v>
      </c>
      <c r="C46" s="3" t="s">
        <v>176</v>
      </c>
      <c r="D46" s="3" t="s">
        <v>179</v>
      </c>
      <c r="E46" s="3" t="s">
        <v>296</v>
      </c>
      <c r="F46" s="3" t="s">
        <v>299</v>
      </c>
    </row>
    <row r="47">
      <c r="A47" s="3" t="s">
        <v>359</v>
      </c>
      <c r="B47" s="10">
        <v>46058.95496239583</v>
      </c>
      <c r="C47" s="3" t="s">
        <v>176</v>
      </c>
      <c r="D47" s="3" t="s">
        <v>179</v>
      </c>
      <c r="E47" s="3" t="s">
        <v>307</v>
      </c>
      <c r="F47" s="3" t="s">
        <v>360</v>
      </c>
    </row>
    <row r="48">
      <c r="A48" s="3" t="s">
        <v>361</v>
      </c>
      <c r="B48" s="10">
        <v>46059.04543280092</v>
      </c>
      <c r="C48" s="3" t="s">
        <v>282</v>
      </c>
      <c r="E48" s="3" t="s">
        <v>283</v>
      </c>
      <c r="F48" s="3" t="s">
        <v>362</v>
      </c>
    </row>
    <row r="49">
      <c r="A49" s="3" t="s">
        <v>363</v>
      </c>
      <c r="B49" s="10">
        <v>46059.04549392361</v>
      </c>
      <c r="C49" s="3" t="s">
        <v>282</v>
      </c>
      <c r="E49" s="3" t="s">
        <v>289</v>
      </c>
      <c r="F49" s="3" t="s">
        <v>364</v>
      </c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